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Uni\Labo II\Colorimetria\"/>
    </mc:Choice>
  </mc:AlternateContent>
  <xr:revisionPtr revIDLastSave="0" documentId="13_ncr:1_{CED472B0-A371-4905-B1CA-CC59FF5FC09C}" xr6:coauthVersionLast="47" xr6:coauthVersionMax="47" xr10:uidLastSave="{00000000-0000-0000-0000-000000000000}"/>
  <bookViews>
    <workbookView xWindow="-108" yWindow="-108" windowWidth="23256" windowHeight="12456" firstSheet="18" activeTab="25" xr2:uid="{00000000-000D-0000-FFFF-FFFF00000000}"/>
  </bookViews>
  <sheets>
    <sheet name="Grilla" sheetId="25" r:id="rId1"/>
    <sheet name="Hoja2" sheetId="27" r:id="rId2"/>
    <sheet name="0-0" sheetId="1" r:id="rId3"/>
    <sheet name="+0.0 seg" sheetId="2" r:id="rId4"/>
    <sheet name="+23.0 seg" sheetId="3" r:id="rId5"/>
    <sheet name="+42.0 seg" sheetId="4" r:id="rId6"/>
    <sheet name="+61.0 seg" sheetId="5" r:id="rId7"/>
    <sheet name="+81.0 seg" sheetId="6" r:id="rId8"/>
    <sheet name="+101.0 seg" sheetId="7" r:id="rId9"/>
    <sheet name="+120.0 seg" sheetId="8" r:id="rId10"/>
    <sheet name="+140.0 seg" sheetId="9" r:id="rId11"/>
    <sheet name="+158.0 seg" sheetId="10" r:id="rId12"/>
    <sheet name="+178.0 seg" sheetId="11" r:id="rId13"/>
    <sheet name="+198.0 seg" sheetId="12" r:id="rId14"/>
    <sheet name="+219.0 seg" sheetId="13" r:id="rId15"/>
    <sheet name="+238.0 seg" sheetId="14" r:id="rId16"/>
    <sheet name="+260.0 seg" sheetId="15" r:id="rId17"/>
    <sheet name="+279.0 seg" sheetId="16" r:id="rId18"/>
    <sheet name="+300.0 seg" sheetId="17" r:id="rId19"/>
    <sheet name="+326.0 seg" sheetId="18" r:id="rId20"/>
    <sheet name="+367.0 seg" sheetId="19" r:id="rId21"/>
    <sheet name="+431.0 seg" sheetId="20" r:id="rId22"/>
    <sheet name="+518.0 seg" sheetId="21" r:id="rId23"/>
    <sheet name="+549.0 seg" sheetId="22" r:id="rId24"/>
    <sheet name="+605.0 seg" sheetId="23" r:id="rId25"/>
    <sheet name="+658.0 seg" sheetId="24" r:id="rId26"/>
  </sheets>
  <calcPr calcId="181029"/>
</workbook>
</file>

<file path=xl/calcChain.xml><?xml version="1.0" encoding="utf-8"?>
<calcChain xmlns="http://schemas.openxmlformats.org/spreadsheetml/2006/main">
  <c r="M33" i="2" l="1"/>
  <c r="L33" i="2"/>
  <c r="K33" i="2"/>
  <c r="J33" i="2"/>
  <c r="I33" i="2"/>
  <c r="H33" i="2"/>
  <c r="G33" i="2"/>
  <c r="F33" i="2"/>
  <c r="E33" i="2"/>
  <c r="D33" i="2"/>
  <c r="C33" i="2"/>
  <c r="B33" i="2"/>
  <c r="M32" i="2"/>
  <c r="L32" i="2"/>
  <c r="K32" i="2"/>
  <c r="J32" i="2"/>
  <c r="I32" i="2"/>
  <c r="H32" i="2"/>
  <c r="G32" i="2"/>
  <c r="F32" i="2"/>
  <c r="E32" i="2"/>
  <c r="D32" i="2"/>
  <c r="C32" i="2"/>
  <c r="B32" i="2"/>
  <c r="M31" i="2"/>
  <c r="L31" i="2"/>
  <c r="K31" i="2"/>
  <c r="J31" i="2"/>
  <c r="I31" i="2"/>
  <c r="H31" i="2"/>
  <c r="G31" i="2"/>
  <c r="F31" i="2"/>
  <c r="E31" i="2"/>
  <c r="D31" i="2"/>
  <c r="C31" i="2"/>
  <c r="B31" i="2"/>
  <c r="M30" i="2"/>
  <c r="L30" i="2"/>
  <c r="K30" i="2"/>
  <c r="J30" i="2"/>
  <c r="I30" i="2"/>
  <c r="H30" i="2"/>
  <c r="G30" i="2"/>
  <c r="F30" i="2"/>
  <c r="E30" i="2"/>
  <c r="D30" i="2"/>
  <c r="C30" i="2"/>
  <c r="B30" i="2"/>
  <c r="M29" i="2"/>
  <c r="L29" i="2"/>
  <c r="K29" i="2"/>
  <c r="J29" i="2"/>
  <c r="I29" i="2"/>
  <c r="H29" i="2"/>
  <c r="G29" i="2"/>
  <c r="F29" i="2"/>
  <c r="E29" i="2"/>
  <c r="D29" i="2"/>
  <c r="C29" i="2"/>
  <c r="B29" i="2"/>
  <c r="M28" i="2"/>
  <c r="L28" i="2"/>
  <c r="K28" i="2"/>
  <c r="J28" i="2"/>
  <c r="I28" i="2"/>
  <c r="H28" i="2"/>
  <c r="G28" i="2"/>
  <c r="F28" i="2"/>
  <c r="E28" i="2"/>
  <c r="D28" i="2"/>
  <c r="C28" i="2"/>
  <c r="B28" i="2"/>
  <c r="M27" i="2"/>
  <c r="L27" i="2"/>
  <c r="K27" i="2"/>
  <c r="J27" i="2"/>
  <c r="I27" i="2"/>
  <c r="H27" i="2"/>
  <c r="G27" i="2"/>
  <c r="F27" i="2"/>
  <c r="E27" i="2"/>
  <c r="D27" i="2"/>
  <c r="C27" i="2"/>
  <c r="B27" i="2"/>
  <c r="M26" i="2"/>
  <c r="L26" i="2"/>
  <c r="K26" i="2"/>
  <c r="J26" i="2"/>
  <c r="I26" i="2"/>
  <c r="H26" i="2"/>
  <c r="G26" i="2"/>
  <c r="F26" i="2"/>
  <c r="E26" i="2"/>
  <c r="D26" i="2"/>
  <c r="C26" i="2"/>
  <c r="B26" i="2"/>
  <c r="M33" i="3"/>
  <c r="L33" i="3"/>
  <c r="K33" i="3"/>
  <c r="J33" i="3"/>
  <c r="I33" i="3"/>
  <c r="H33" i="3"/>
  <c r="G33" i="3"/>
  <c r="F33" i="3"/>
  <c r="E33" i="3"/>
  <c r="D33" i="3"/>
  <c r="C33" i="3"/>
  <c r="B33" i="3"/>
  <c r="M32" i="3"/>
  <c r="L32" i="3"/>
  <c r="K32" i="3"/>
  <c r="J32" i="3"/>
  <c r="I32" i="3"/>
  <c r="H32" i="3"/>
  <c r="G32" i="3"/>
  <c r="F32" i="3"/>
  <c r="E32" i="3"/>
  <c r="D32" i="3"/>
  <c r="C32" i="3"/>
  <c r="B32" i="3"/>
  <c r="M31" i="3"/>
  <c r="L31" i="3"/>
  <c r="K31" i="3"/>
  <c r="J31" i="3"/>
  <c r="I31" i="3"/>
  <c r="H31" i="3"/>
  <c r="G31" i="3"/>
  <c r="F31" i="3"/>
  <c r="E31" i="3"/>
  <c r="D31" i="3"/>
  <c r="C31" i="3"/>
  <c r="B31" i="3"/>
  <c r="M30" i="3"/>
  <c r="L30" i="3"/>
  <c r="K30" i="3"/>
  <c r="J30" i="3"/>
  <c r="I30" i="3"/>
  <c r="H30" i="3"/>
  <c r="G30" i="3"/>
  <c r="F30" i="3"/>
  <c r="E30" i="3"/>
  <c r="D30" i="3"/>
  <c r="C30" i="3"/>
  <c r="B30" i="3"/>
  <c r="M29" i="3"/>
  <c r="L29" i="3"/>
  <c r="K29" i="3"/>
  <c r="J29" i="3"/>
  <c r="I29" i="3"/>
  <c r="H29" i="3"/>
  <c r="G29" i="3"/>
  <c r="F29" i="3"/>
  <c r="E29" i="3"/>
  <c r="D29" i="3"/>
  <c r="C29" i="3"/>
  <c r="B29" i="3"/>
  <c r="M28" i="3"/>
  <c r="L28" i="3"/>
  <c r="K28" i="3"/>
  <c r="J28" i="3"/>
  <c r="I28" i="3"/>
  <c r="H28" i="3"/>
  <c r="G28" i="3"/>
  <c r="F28" i="3"/>
  <c r="E28" i="3"/>
  <c r="D28" i="3"/>
  <c r="C28" i="3"/>
  <c r="B28" i="3"/>
  <c r="M27" i="3"/>
  <c r="L27" i="3"/>
  <c r="K27" i="3"/>
  <c r="J27" i="3"/>
  <c r="I27" i="3"/>
  <c r="H27" i="3"/>
  <c r="G27" i="3"/>
  <c r="F27" i="3"/>
  <c r="E27" i="3"/>
  <c r="D27" i="3"/>
  <c r="C27" i="3"/>
  <c r="B27" i="3"/>
  <c r="M26" i="3"/>
  <c r="L26" i="3"/>
  <c r="K26" i="3"/>
  <c r="J26" i="3"/>
  <c r="I26" i="3"/>
  <c r="H26" i="3"/>
  <c r="G26" i="3"/>
  <c r="F26" i="3"/>
  <c r="E26" i="3"/>
  <c r="D26" i="3"/>
  <c r="C26" i="3"/>
  <c r="B26" i="3"/>
  <c r="M33" i="4"/>
  <c r="L33" i="4"/>
  <c r="K33" i="4"/>
  <c r="J33" i="4"/>
  <c r="I33" i="4"/>
  <c r="H33" i="4"/>
  <c r="G33" i="4"/>
  <c r="F33" i="4"/>
  <c r="E33" i="4"/>
  <c r="D33" i="4"/>
  <c r="C33" i="4"/>
  <c r="B33" i="4"/>
  <c r="M32" i="4"/>
  <c r="L32" i="4"/>
  <c r="K32" i="4"/>
  <c r="J32" i="4"/>
  <c r="I32" i="4"/>
  <c r="H32" i="4"/>
  <c r="G32" i="4"/>
  <c r="F32" i="4"/>
  <c r="E32" i="4"/>
  <c r="D32" i="4"/>
  <c r="C32" i="4"/>
  <c r="B32" i="4"/>
  <c r="M31" i="4"/>
  <c r="L31" i="4"/>
  <c r="K31" i="4"/>
  <c r="J31" i="4"/>
  <c r="I31" i="4"/>
  <c r="H31" i="4"/>
  <c r="G31" i="4"/>
  <c r="F31" i="4"/>
  <c r="E31" i="4"/>
  <c r="D31" i="4"/>
  <c r="C31" i="4"/>
  <c r="B31" i="4"/>
  <c r="M30" i="4"/>
  <c r="L30" i="4"/>
  <c r="K30" i="4"/>
  <c r="J30" i="4"/>
  <c r="I30" i="4"/>
  <c r="H30" i="4"/>
  <c r="G30" i="4"/>
  <c r="F30" i="4"/>
  <c r="E30" i="4"/>
  <c r="D30" i="4"/>
  <c r="C30" i="4"/>
  <c r="B30" i="4"/>
  <c r="M29" i="4"/>
  <c r="L29" i="4"/>
  <c r="K29" i="4"/>
  <c r="J29" i="4"/>
  <c r="I29" i="4"/>
  <c r="H29" i="4"/>
  <c r="G29" i="4"/>
  <c r="F29" i="4"/>
  <c r="E29" i="4"/>
  <c r="D29" i="4"/>
  <c r="C29" i="4"/>
  <c r="B29" i="4"/>
  <c r="M28" i="4"/>
  <c r="L28" i="4"/>
  <c r="K28" i="4"/>
  <c r="J28" i="4"/>
  <c r="I28" i="4"/>
  <c r="H28" i="4"/>
  <c r="G28" i="4"/>
  <c r="F28" i="4"/>
  <c r="E28" i="4"/>
  <c r="D28" i="4"/>
  <c r="C28" i="4"/>
  <c r="B28" i="4"/>
  <c r="M27" i="4"/>
  <c r="L27" i="4"/>
  <c r="K27" i="4"/>
  <c r="J27" i="4"/>
  <c r="I27" i="4"/>
  <c r="H27" i="4"/>
  <c r="G27" i="4"/>
  <c r="F27" i="4"/>
  <c r="E27" i="4"/>
  <c r="D27" i="4"/>
  <c r="C27" i="4"/>
  <c r="B27" i="4"/>
  <c r="M26" i="4"/>
  <c r="L26" i="4"/>
  <c r="K26" i="4"/>
  <c r="J26" i="4"/>
  <c r="I26" i="4"/>
  <c r="H26" i="4"/>
  <c r="G26" i="4"/>
  <c r="F26" i="4"/>
  <c r="E26" i="4"/>
  <c r="D26" i="4"/>
  <c r="C26" i="4"/>
  <c r="B26" i="4"/>
  <c r="M33" i="5"/>
  <c r="L33" i="5"/>
  <c r="K33" i="5"/>
  <c r="J33" i="5"/>
  <c r="I33" i="5"/>
  <c r="H33" i="5"/>
  <c r="G33" i="5"/>
  <c r="F33" i="5"/>
  <c r="E33" i="5"/>
  <c r="D33" i="5"/>
  <c r="C33" i="5"/>
  <c r="B33" i="5"/>
  <c r="M32" i="5"/>
  <c r="L32" i="5"/>
  <c r="K32" i="5"/>
  <c r="J32" i="5"/>
  <c r="I32" i="5"/>
  <c r="H32" i="5"/>
  <c r="G32" i="5"/>
  <c r="F32" i="5"/>
  <c r="E32" i="5"/>
  <c r="D32" i="5"/>
  <c r="C32" i="5"/>
  <c r="B32" i="5"/>
  <c r="M31" i="5"/>
  <c r="L31" i="5"/>
  <c r="K31" i="5"/>
  <c r="J31" i="5"/>
  <c r="I31" i="5"/>
  <c r="H31" i="5"/>
  <c r="G31" i="5"/>
  <c r="F31" i="5"/>
  <c r="E31" i="5"/>
  <c r="D31" i="5"/>
  <c r="C31" i="5"/>
  <c r="B31" i="5"/>
  <c r="M30" i="5"/>
  <c r="L30" i="5"/>
  <c r="K30" i="5"/>
  <c r="J30" i="5"/>
  <c r="I30" i="5"/>
  <c r="H30" i="5"/>
  <c r="G30" i="5"/>
  <c r="F30" i="5"/>
  <c r="E30" i="5"/>
  <c r="D30" i="5"/>
  <c r="C30" i="5"/>
  <c r="B30" i="5"/>
  <c r="M29" i="5"/>
  <c r="L29" i="5"/>
  <c r="K29" i="5"/>
  <c r="J29" i="5"/>
  <c r="I29" i="5"/>
  <c r="H29" i="5"/>
  <c r="G29" i="5"/>
  <c r="F29" i="5"/>
  <c r="E29" i="5"/>
  <c r="D29" i="5"/>
  <c r="C29" i="5"/>
  <c r="B29" i="5"/>
  <c r="M28" i="5"/>
  <c r="L28" i="5"/>
  <c r="K28" i="5"/>
  <c r="J28" i="5"/>
  <c r="I28" i="5"/>
  <c r="H28" i="5"/>
  <c r="G28" i="5"/>
  <c r="F28" i="5"/>
  <c r="E28" i="5"/>
  <c r="D28" i="5"/>
  <c r="C28" i="5"/>
  <c r="B28" i="5"/>
  <c r="M27" i="5"/>
  <c r="L27" i="5"/>
  <c r="K27" i="5"/>
  <c r="J27" i="5"/>
  <c r="I27" i="5"/>
  <c r="H27" i="5"/>
  <c r="G27" i="5"/>
  <c r="F27" i="5"/>
  <c r="E27" i="5"/>
  <c r="D27" i="5"/>
  <c r="C27" i="5"/>
  <c r="B27" i="5"/>
  <c r="M26" i="5"/>
  <c r="L26" i="5"/>
  <c r="K26" i="5"/>
  <c r="J26" i="5"/>
  <c r="I26" i="5"/>
  <c r="H26" i="5"/>
  <c r="G26" i="5"/>
  <c r="F26" i="5"/>
  <c r="E26" i="5"/>
  <c r="D26" i="5"/>
  <c r="C26" i="5"/>
  <c r="B26" i="5"/>
  <c r="M33" i="24"/>
  <c r="L33" i="24"/>
  <c r="K33" i="24"/>
  <c r="J33" i="24"/>
  <c r="I33" i="24"/>
  <c r="H33" i="24"/>
  <c r="G33" i="24"/>
  <c r="F33" i="24"/>
  <c r="E33" i="24"/>
  <c r="D33" i="24"/>
  <c r="C33" i="24"/>
  <c r="B33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M26" i="24"/>
  <c r="L26" i="24"/>
  <c r="K26" i="24"/>
  <c r="J26" i="24"/>
  <c r="I26" i="24"/>
  <c r="H26" i="24"/>
  <c r="G26" i="24"/>
  <c r="F26" i="24"/>
  <c r="E26" i="24"/>
  <c r="D26" i="24"/>
  <c r="C26" i="24"/>
  <c r="B26" i="24"/>
  <c r="M33" i="23"/>
  <c r="L33" i="23"/>
  <c r="K33" i="23"/>
  <c r="J33" i="23"/>
  <c r="I33" i="23"/>
  <c r="H33" i="23"/>
  <c r="G33" i="23"/>
  <c r="F33" i="23"/>
  <c r="E33" i="23"/>
  <c r="D33" i="23"/>
  <c r="C33" i="23"/>
  <c r="B33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M26" i="23"/>
  <c r="L26" i="23"/>
  <c r="K26" i="23"/>
  <c r="J26" i="23"/>
  <c r="I26" i="23"/>
  <c r="H26" i="23"/>
  <c r="G26" i="23"/>
  <c r="F26" i="23"/>
  <c r="E26" i="23"/>
  <c r="D26" i="23"/>
  <c r="C26" i="23"/>
  <c r="B26" i="23"/>
  <c r="M33" i="22"/>
  <c r="L33" i="22"/>
  <c r="K33" i="22"/>
  <c r="J33" i="22"/>
  <c r="I33" i="22"/>
  <c r="H33" i="22"/>
  <c r="G33" i="22"/>
  <c r="F33" i="22"/>
  <c r="E33" i="22"/>
  <c r="D33" i="22"/>
  <c r="C33" i="22"/>
  <c r="B33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M26" i="22"/>
  <c r="L26" i="22"/>
  <c r="K26" i="22"/>
  <c r="J26" i="22"/>
  <c r="I26" i="22"/>
  <c r="H26" i="22"/>
  <c r="G26" i="22"/>
  <c r="F26" i="22"/>
  <c r="E26" i="22"/>
  <c r="D26" i="22"/>
  <c r="C26" i="22"/>
  <c r="B26" i="22"/>
  <c r="M33" i="21"/>
  <c r="L33" i="21"/>
  <c r="K33" i="21"/>
  <c r="J33" i="21"/>
  <c r="I33" i="21"/>
  <c r="H33" i="21"/>
  <c r="G33" i="21"/>
  <c r="F33" i="21"/>
  <c r="E33" i="21"/>
  <c r="D33" i="21"/>
  <c r="C33" i="21"/>
  <c r="B33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M33" i="20"/>
  <c r="L33" i="20"/>
  <c r="K33" i="20"/>
  <c r="J33" i="20"/>
  <c r="I33" i="20"/>
  <c r="H33" i="20"/>
  <c r="G33" i="20"/>
  <c r="F33" i="20"/>
  <c r="E33" i="20"/>
  <c r="D33" i="20"/>
  <c r="C33" i="20"/>
  <c r="B33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M33" i="19"/>
  <c r="L33" i="19"/>
  <c r="K33" i="19"/>
  <c r="J33" i="19"/>
  <c r="I33" i="19"/>
  <c r="H33" i="19"/>
  <c r="G33" i="19"/>
  <c r="F33" i="19"/>
  <c r="E33" i="19"/>
  <c r="D33" i="19"/>
  <c r="C33" i="19"/>
  <c r="B33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M26" i="19"/>
  <c r="L26" i="19"/>
  <c r="K26" i="19"/>
  <c r="J26" i="19"/>
  <c r="I26" i="19"/>
  <c r="H26" i="19"/>
  <c r="G26" i="19"/>
  <c r="F26" i="19"/>
  <c r="E26" i="19"/>
  <c r="D26" i="19"/>
  <c r="C26" i="19"/>
  <c r="B26" i="19"/>
  <c r="M33" i="18"/>
  <c r="L33" i="18"/>
  <c r="K33" i="18"/>
  <c r="J33" i="18"/>
  <c r="I33" i="18"/>
  <c r="H33" i="18"/>
  <c r="G33" i="18"/>
  <c r="F33" i="18"/>
  <c r="E33" i="18"/>
  <c r="D33" i="18"/>
  <c r="C33" i="18"/>
  <c r="B33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M26" i="18"/>
  <c r="L26" i="18"/>
  <c r="K26" i="18"/>
  <c r="J26" i="18"/>
  <c r="I26" i="18"/>
  <c r="H26" i="18"/>
  <c r="G26" i="18"/>
  <c r="F26" i="18"/>
  <c r="E26" i="18"/>
  <c r="D26" i="18"/>
  <c r="C26" i="18"/>
  <c r="B26" i="18"/>
  <c r="M33" i="17"/>
  <c r="L33" i="17"/>
  <c r="K33" i="17"/>
  <c r="J33" i="17"/>
  <c r="I33" i="17"/>
  <c r="H33" i="17"/>
  <c r="G33" i="17"/>
  <c r="F33" i="17"/>
  <c r="E33" i="17"/>
  <c r="D33" i="17"/>
  <c r="C33" i="17"/>
  <c r="B33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M33" i="16"/>
  <c r="L33" i="16"/>
  <c r="K33" i="16"/>
  <c r="J33" i="16"/>
  <c r="I33" i="16"/>
  <c r="H33" i="16"/>
  <c r="G33" i="16"/>
  <c r="F33" i="16"/>
  <c r="E33" i="16"/>
  <c r="D33" i="16"/>
  <c r="C33" i="16"/>
  <c r="B33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M33" i="15"/>
  <c r="L33" i="15"/>
  <c r="K33" i="15"/>
  <c r="J33" i="15"/>
  <c r="I33" i="15"/>
  <c r="H33" i="15"/>
  <c r="G33" i="15"/>
  <c r="F33" i="15"/>
  <c r="E33" i="15"/>
  <c r="D33" i="15"/>
  <c r="C33" i="15"/>
  <c r="B33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M33" i="14"/>
  <c r="L33" i="14"/>
  <c r="K33" i="14"/>
  <c r="J33" i="14"/>
  <c r="I33" i="14"/>
  <c r="H33" i="14"/>
  <c r="G33" i="14"/>
  <c r="F33" i="14"/>
  <c r="E33" i="14"/>
  <c r="D33" i="14"/>
  <c r="C33" i="14"/>
  <c r="B33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M33" i="13"/>
  <c r="L33" i="13"/>
  <c r="K33" i="13"/>
  <c r="J33" i="13"/>
  <c r="I33" i="13"/>
  <c r="H33" i="13"/>
  <c r="G33" i="13"/>
  <c r="F33" i="13"/>
  <c r="E33" i="13"/>
  <c r="D33" i="13"/>
  <c r="C33" i="13"/>
  <c r="B33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M33" i="12"/>
  <c r="L33" i="12"/>
  <c r="K33" i="12"/>
  <c r="J33" i="12"/>
  <c r="I33" i="12"/>
  <c r="H33" i="12"/>
  <c r="G33" i="12"/>
  <c r="F33" i="12"/>
  <c r="E33" i="12"/>
  <c r="D33" i="12"/>
  <c r="C33" i="12"/>
  <c r="B33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M33" i="11"/>
  <c r="L33" i="11"/>
  <c r="K33" i="11"/>
  <c r="J33" i="11"/>
  <c r="I33" i="11"/>
  <c r="H33" i="11"/>
  <c r="G33" i="11"/>
  <c r="F33" i="11"/>
  <c r="E33" i="11"/>
  <c r="D33" i="11"/>
  <c r="C33" i="11"/>
  <c r="B33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M33" i="10"/>
  <c r="L33" i="10"/>
  <c r="K33" i="10"/>
  <c r="J33" i="10"/>
  <c r="I33" i="10"/>
  <c r="H33" i="10"/>
  <c r="G33" i="10"/>
  <c r="F33" i="10"/>
  <c r="E33" i="10"/>
  <c r="D33" i="10"/>
  <c r="C33" i="10"/>
  <c r="B33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M33" i="9"/>
  <c r="L33" i="9"/>
  <c r="K33" i="9"/>
  <c r="J33" i="9"/>
  <c r="I33" i="9"/>
  <c r="H33" i="9"/>
  <c r="G33" i="9"/>
  <c r="F33" i="9"/>
  <c r="E33" i="9"/>
  <c r="D33" i="9"/>
  <c r="C33" i="9"/>
  <c r="B33" i="9"/>
  <c r="M32" i="9"/>
  <c r="L32" i="9"/>
  <c r="K32" i="9"/>
  <c r="J32" i="9"/>
  <c r="I32" i="9"/>
  <c r="H32" i="9"/>
  <c r="G32" i="9"/>
  <c r="F32" i="9"/>
  <c r="E32" i="9"/>
  <c r="D32" i="9"/>
  <c r="C32" i="9"/>
  <c r="B32" i="9"/>
  <c r="M31" i="9"/>
  <c r="L31" i="9"/>
  <c r="K31" i="9"/>
  <c r="J31" i="9"/>
  <c r="I31" i="9"/>
  <c r="H31" i="9"/>
  <c r="G31" i="9"/>
  <c r="F31" i="9"/>
  <c r="E31" i="9"/>
  <c r="D31" i="9"/>
  <c r="C31" i="9"/>
  <c r="B31" i="9"/>
  <c r="M30" i="9"/>
  <c r="L30" i="9"/>
  <c r="K30" i="9"/>
  <c r="J30" i="9"/>
  <c r="I30" i="9"/>
  <c r="H30" i="9"/>
  <c r="G30" i="9"/>
  <c r="F30" i="9"/>
  <c r="E30" i="9"/>
  <c r="D30" i="9"/>
  <c r="C30" i="9"/>
  <c r="B30" i="9"/>
  <c r="M29" i="9"/>
  <c r="L29" i="9"/>
  <c r="K29" i="9"/>
  <c r="J29" i="9"/>
  <c r="I29" i="9"/>
  <c r="H29" i="9"/>
  <c r="G29" i="9"/>
  <c r="F29" i="9"/>
  <c r="E29" i="9"/>
  <c r="D29" i="9"/>
  <c r="C29" i="9"/>
  <c r="B29" i="9"/>
  <c r="M28" i="9"/>
  <c r="L28" i="9"/>
  <c r="K28" i="9"/>
  <c r="J28" i="9"/>
  <c r="I28" i="9"/>
  <c r="H28" i="9"/>
  <c r="G28" i="9"/>
  <c r="F28" i="9"/>
  <c r="E28" i="9"/>
  <c r="D28" i="9"/>
  <c r="C28" i="9"/>
  <c r="B28" i="9"/>
  <c r="M27" i="9"/>
  <c r="L27" i="9"/>
  <c r="K27" i="9"/>
  <c r="J27" i="9"/>
  <c r="I27" i="9"/>
  <c r="H27" i="9"/>
  <c r="G27" i="9"/>
  <c r="F27" i="9"/>
  <c r="E27" i="9"/>
  <c r="D27" i="9"/>
  <c r="C27" i="9"/>
  <c r="B27" i="9"/>
  <c r="M26" i="9"/>
  <c r="L26" i="9"/>
  <c r="K26" i="9"/>
  <c r="J26" i="9"/>
  <c r="I26" i="9"/>
  <c r="H26" i="9"/>
  <c r="G26" i="9"/>
  <c r="F26" i="9"/>
  <c r="E26" i="9"/>
  <c r="D26" i="9"/>
  <c r="C26" i="9"/>
  <c r="B26" i="9"/>
  <c r="M33" i="8"/>
  <c r="L33" i="8"/>
  <c r="K33" i="8"/>
  <c r="J33" i="8"/>
  <c r="I33" i="8"/>
  <c r="H33" i="8"/>
  <c r="G33" i="8"/>
  <c r="F33" i="8"/>
  <c r="E33" i="8"/>
  <c r="D33" i="8"/>
  <c r="C33" i="8"/>
  <c r="B33" i="8"/>
  <c r="M32" i="8"/>
  <c r="L32" i="8"/>
  <c r="K32" i="8"/>
  <c r="J32" i="8"/>
  <c r="I32" i="8"/>
  <c r="H32" i="8"/>
  <c r="G32" i="8"/>
  <c r="F32" i="8"/>
  <c r="E32" i="8"/>
  <c r="D32" i="8"/>
  <c r="C32" i="8"/>
  <c r="B32" i="8"/>
  <c r="M31" i="8"/>
  <c r="L31" i="8"/>
  <c r="K31" i="8"/>
  <c r="J31" i="8"/>
  <c r="I31" i="8"/>
  <c r="H31" i="8"/>
  <c r="G31" i="8"/>
  <c r="F31" i="8"/>
  <c r="E31" i="8"/>
  <c r="D31" i="8"/>
  <c r="C31" i="8"/>
  <c r="B31" i="8"/>
  <c r="M30" i="8"/>
  <c r="L30" i="8"/>
  <c r="K30" i="8"/>
  <c r="J30" i="8"/>
  <c r="I30" i="8"/>
  <c r="H30" i="8"/>
  <c r="G30" i="8"/>
  <c r="F30" i="8"/>
  <c r="E30" i="8"/>
  <c r="D30" i="8"/>
  <c r="C30" i="8"/>
  <c r="B30" i="8"/>
  <c r="M29" i="8"/>
  <c r="L29" i="8"/>
  <c r="K29" i="8"/>
  <c r="J29" i="8"/>
  <c r="I29" i="8"/>
  <c r="H29" i="8"/>
  <c r="G29" i="8"/>
  <c r="F29" i="8"/>
  <c r="E29" i="8"/>
  <c r="D29" i="8"/>
  <c r="C29" i="8"/>
  <c r="B29" i="8"/>
  <c r="M28" i="8"/>
  <c r="L28" i="8"/>
  <c r="K28" i="8"/>
  <c r="J28" i="8"/>
  <c r="I28" i="8"/>
  <c r="H28" i="8"/>
  <c r="G28" i="8"/>
  <c r="F28" i="8"/>
  <c r="E28" i="8"/>
  <c r="D28" i="8"/>
  <c r="C28" i="8"/>
  <c r="B28" i="8"/>
  <c r="M27" i="8"/>
  <c r="L27" i="8"/>
  <c r="K27" i="8"/>
  <c r="J27" i="8"/>
  <c r="I27" i="8"/>
  <c r="H27" i="8"/>
  <c r="G27" i="8"/>
  <c r="F27" i="8"/>
  <c r="E27" i="8"/>
  <c r="D27" i="8"/>
  <c r="C27" i="8"/>
  <c r="B27" i="8"/>
  <c r="M26" i="8"/>
  <c r="L26" i="8"/>
  <c r="K26" i="8"/>
  <c r="J26" i="8"/>
  <c r="I26" i="8"/>
  <c r="H26" i="8"/>
  <c r="G26" i="8"/>
  <c r="F26" i="8"/>
  <c r="E26" i="8"/>
  <c r="D26" i="8"/>
  <c r="C26" i="8"/>
  <c r="B26" i="8"/>
  <c r="M33" i="7"/>
  <c r="L33" i="7"/>
  <c r="K33" i="7"/>
  <c r="J33" i="7"/>
  <c r="I33" i="7"/>
  <c r="H33" i="7"/>
  <c r="G33" i="7"/>
  <c r="F33" i="7"/>
  <c r="E33" i="7"/>
  <c r="D33" i="7"/>
  <c r="C33" i="7"/>
  <c r="B33" i="7"/>
  <c r="M32" i="7"/>
  <c r="L32" i="7"/>
  <c r="K32" i="7"/>
  <c r="J32" i="7"/>
  <c r="I32" i="7"/>
  <c r="H32" i="7"/>
  <c r="G32" i="7"/>
  <c r="F32" i="7"/>
  <c r="E32" i="7"/>
  <c r="D32" i="7"/>
  <c r="C32" i="7"/>
  <c r="B32" i="7"/>
  <c r="M31" i="7"/>
  <c r="L31" i="7"/>
  <c r="K31" i="7"/>
  <c r="J31" i="7"/>
  <c r="I31" i="7"/>
  <c r="H31" i="7"/>
  <c r="G31" i="7"/>
  <c r="F31" i="7"/>
  <c r="E31" i="7"/>
  <c r="D31" i="7"/>
  <c r="C31" i="7"/>
  <c r="B31" i="7"/>
  <c r="M30" i="7"/>
  <c r="L30" i="7"/>
  <c r="K30" i="7"/>
  <c r="J30" i="7"/>
  <c r="I30" i="7"/>
  <c r="H30" i="7"/>
  <c r="G30" i="7"/>
  <c r="F30" i="7"/>
  <c r="E30" i="7"/>
  <c r="D30" i="7"/>
  <c r="C30" i="7"/>
  <c r="B30" i="7"/>
  <c r="M29" i="7"/>
  <c r="L29" i="7"/>
  <c r="K29" i="7"/>
  <c r="J29" i="7"/>
  <c r="I29" i="7"/>
  <c r="H29" i="7"/>
  <c r="G29" i="7"/>
  <c r="F29" i="7"/>
  <c r="E29" i="7"/>
  <c r="D29" i="7"/>
  <c r="C29" i="7"/>
  <c r="B29" i="7"/>
  <c r="M28" i="7"/>
  <c r="L28" i="7"/>
  <c r="K28" i="7"/>
  <c r="J28" i="7"/>
  <c r="I28" i="7"/>
  <c r="H28" i="7"/>
  <c r="G28" i="7"/>
  <c r="F28" i="7"/>
  <c r="E28" i="7"/>
  <c r="D28" i="7"/>
  <c r="C28" i="7"/>
  <c r="B28" i="7"/>
  <c r="M27" i="7"/>
  <c r="L27" i="7"/>
  <c r="K27" i="7"/>
  <c r="J27" i="7"/>
  <c r="I27" i="7"/>
  <c r="H27" i="7"/>
  <c r="G27" i="7"/>
  <c r="F27" i="7"/>
  <c r="E27" i="7"/>
  <c r="D27" i="7"/>
  <c r="C27" i="7"/>
  <c r="B27" i="7"/>
  <c r="M26" i="7"/>
  <c r="L26" i="7"/>
  <c r="K26" i="7"/>
  <c r="J26" i="7"/>
  <c r="I26" i="7"/>
  <c r="H26" i="7"/>
  <c r="G26" i="7"/>
  <c r="F26" i="7"/>
  <c r="E26" i="7"/>
  <c r="D26" i="7"/>
  <c r="C26" i="7"/>
  <c r="B26" i="7"/>
  <c r="L26" i="6"/>
  <c r="M26" i="6"/>
  <c r="L27" i="6"/>
  <c r="M27" i="6"/>
  <c r="L28" i="6"/>
  <c r="M28" i="6"/>
  <c r="L29" i="6"/>
  <c r="M29" i="6"/>
  <c r="L30" i="6"/>
  <c r="M30" i="6"/>
  <c r="L31" i="6"/>
  <c r="M31" i="6"/>
  <c r="L32" i="6"/>
  <c r="M32" i="6"/>
  <c r="L33" i="6"/>
  <c r="M33" i="6"/>
  <c r="K26" i="6"/>
  <c r="K33" i="6"/>
  <c r="K32" i="6"/>
  <c r="K31" i="6"/>
  <c r="K30" i="6"/>
  <c r="K29" i="6"/>
  <c r="K28" i="6"/>
  <c r="K27" i="6"/>
  <c r="I33" i="6"/>
  <c r="I32" i="6"/>
  <c r="I31" i="6"/>
  <c r="I30" i="6"/>
  <c r="I29" i="6"/>
  <c r="I28" i="6"/>
  <c r="I27" i="6"/>
  <c r="I26" i="6"/>
  <c r="G33" i="6"/>
  <c r="G32" i="6"/>
  <c r="G31" i="6"/>
  <c r="G30" i="6"/>
  <c r="G29" i="6"/>
  <c r="G28" i="6"/>
  <c r="G27" i="6"/>
  <c r="G26" i="6"/>
  <c r="E26" i="6"/>
  <c r="E33" i="6"/>
  <c r="E32" i="6"/>
  <c r="E31" i="6"/>
  <c r="E30" i="6"/>
  <c r="E29" i="6"/>
  <c r="E28" i="6"/>
  <c r="E27" i="6"/>
  <c r="C27" i="6"/>
  <c r="C28" i="6"/>
  <c r="C29" i="6"/>
  <c r="C30" i="6"/>
  <c r="C31" i="6"/>
  <c r="C32" i="6"/>
  <c r="C33" i="6"/>
  <c r="C26" i="6"/>
  <c r="J27" i="6"/>
  <c r="J28" i="6"/>
  <c r="J29" i="6"/>
  <c r="J30" i="6"/>
  <c r="J31" i="6"/>
  <c r="J32" i="6"/>
  <c r="J33" i="6"/>
  <c r="H27" i="6"/>
  <c r="H28" i="6"/>
  <c r="H29" i="6"/>
  <c r="H30" i="6"/>
  <c r="H31" i="6"/>
  <c r="H32" i="6"/>
  <c r="H33" i="6"/>
  <c r="F27" i="6"/>
  <c r="F28" i="6"/>
  <c r="F29" i="6"/>
  <c r="F30" i="6"/>
  <c r="F31" i="6"/>
  <c r="F32" i="6"/>
  <c r="F33" i="6"/>
  <c r="D27" i="6"/>
  <c r="D28" i="6"/>
  <c r="D29" i="6"/>
  <c r="D30" i="6"/>
  <c r="D31" i="6"/>
  <c r="D32" i="6"/>
  <c r="D33" i="6"/>
  <c r="D26" i="6"/>
  <c r="F26" i="6"/>
  <c r="H26" i="6"/>
  <c r="J26" i="6"/>
  <c r="B27" i="6"/>
  <c r="B28" i="6"/>
  <c r="B29" i="6"/>
  <c r="B30" i="6"/>
  <c r="B31" i="6"/>
  <c r="B32" i="6"/>
  <c r="B33" i="6"/>
  <c r="B26" i="6"/>
  <c r="M22" i="24"/>
  <c r="L22" i="24"/>
  <c r="K22" i="24"/>
  <c r="J22" i="24"/>
  <c r="I22" i="24"/>
  <c r="H22" i="24"/>
  <c r="G22" i="24"/>
  <c r="F22" i="24"/>
  <c r="E22" i="24"/>
  <c r="D22" i="24"/>
  <c r="C22" i="24"/>
  <c r="B22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M15" i="24"/>
  <c r="L15" i="24"/>
  <c r="K15" i="24"/>
  <c r="J15" i="24"/>
  <c r="I15" i="24"/>
  <c r="H15" i="24"/>
  <c r="G15" i="24"/>
  <c r="F15" i="24"/>
  <c r="E15" i="24"/>
  <c r="D15" i="24"/>
  <c r="C15" i="24"/>
  <c r="B15" i="24"/>
  <c r="M22" i="23"/>
  <c r="L22" i="23"/>
  <c r="K22" i="23"/>
  <c r="J22" i="23"/>
  <c r="I22" i="23"/>
  <c r="H22" i="23"/>
  <c r="G22" i="23"/>
  <c r="F22" i="23"/>
  <c r="E22" i="23"/>
  <c r="D22" i="23"/>
  <c r="C22" i="23"/>
  <c r="B22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M15" i="23"/>
  <c r="L15" i="23"/>
  <c r="K15" i="23"/>
  <c r="J15" i="23"/>
  <c r="I15" i="23"/>
  <c r="H15" i="23"/>
  <c r="G15" i="23"/>
  <c r="F15" i="23"/>
  <c r="E15" i="23"/>
  <c r="D15" i="23"/>
  <c r="C15" i="23"/>
  <c r="B15" i="23"/>
  <c r="M22" i="22"/>
  <c r="L22" i="22"/>
  <c r="K22" i="22"/>
  <c r="J22" i="22"/>
  <c r="I22" i="22"/>
  <c r="H22" i="22"/>
  <c r="G22" i="22"/>
  <c r="F22" i="22"/>
  <c r="E22" i="22"/>
  <c r="D22" i="22"/>
  <c r="C22" i="22"/>
  <c r="B22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M15" i="22"/>
  <c r="L15" i="22"/>
  <c r="K15" i="22"/>
  <c r="J15" i="22"/>
  <c r="I15" i="22"/>
  <c r="H15" i="22"/>
  <c r="G15" i="22"/>
  <c r="F15" i="22"/>
  <c r="E15" i="22"/>
  <c r="D15" i="22"/>
  <c r="C15" i="22"/>
  <c r="B15" i="22"/>
  <c r="M22" i="21"/>
  <c r="L22" i="21"/>
  <c r="K22" i="21"/>
  <c r="J22" i="21"/>
  <c r="I22" i="21"/>
  <c r="H22" i="21"/>
  <c r="G22" i="21"/>
  <c r="F22" i="21"/>
  <c r="E22" i="21"/>
  <c r="D22" i="21"/>
  <c r="C22" i="21"/>
  <c r="B22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M22" i="20"/>
  <c r="L22" i="20"/>
  <c r="K22" i="20"/>
  <c r="J22" i="20"/>
  <c r="I22" i="20"/>
  <c r="H22" i="20"/>
  <c r="G22" i="20"/>
  <c r="F22" i="20"/>
  <c r="E22" i="20"/>
  <c r="D22" i="20"/>
  <c r="C22" i="20"/>
  <c r="B22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M15" i="20"/>
  <c r="L15" i="20"/>
  <c r="K15" i="20"/>
  <c r="J15" i="20"/>
  <c r="I15" i="20"/>
  <c r="H15" i="20"/>
  <c r="G15" i="20"/>
  <c r="F15" i="20"/>
  <c r="E15" i="20"/>
  <c r="D15" i="20"/>
  <c r="C15" i="20"/>
  <c r="B15" i="20"/>
  <c r="M22" i="19"/>
  <c r="L22" i="19"/>
  <c r="K22" i="19"/>
  <c r="J22" i="19"/>
  <c r="I22" i="19"/>
  <c r="H22" i="19"/>
  <c r="G22" i="19"/>
  <c r="F22" i="19"/>
  <c r="E22" i="19"/>
  <c r="D22" i="19"/>
  <c r="C22" i="19"/>
  <c r="B22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M15" i="19"/>
  <c r="L15" i="19"/>
  <c r="K15" i="19"/>
  <c r="J15" i="19"/>
  <c r="I15" i="19"/>
  <c r="H15" i="19"/>
  <c r="G15" i="19"/>
  <c r="F15" i="19"/>
  <c r="E15" i="19"/>
  <c r="D15" i="19"/>
  <c r="C15" i="19"/>
  <c r="B15" i="19"/>
  <c r="M22" i="18"/>
  <c r="L22" i="18"/>
  <c r="K22" i="18"/>
  <c r="J22" i="18"/>
  <c r="I22" i="18"/>
  <c r="H22" i="18"/>
  <c r="G22" i="18"/>
  <c r="F22" i="18"/>
  <c r="E22" i="18"/>
  <c r="D22" i="18"/>
  <c r="C22" i="18"/>
  <c r="B22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M22" i="17"/>
  <c r="L22" i="17"/>
  <c r="K22" i="17"/>
  <c r="J22" i="17"/>
  <c r="I22" i="17"/>
  <c r="H22" i="17"/>
  <c r="G22" i="17"/>
  <c r="F22" i="17"/>
  <c r="E22" i="17"/>
  <c r="D22" i="17"/>
  <c r="C22" i="17"/>
  <c r="B22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M22" i="16"/>
  <c r="L22" i="16"/>
  <c r="K22" i="16"/>
  <c r="J22" i="16"/>
  <c r="I22" i="16"/>
  <c r="H22" i="16"/>
  <c r="G22" i="16"/>
  <c r="F22" i="16"/>
  <c r="E22" i="16"/>
  <c r="D22" i="16"/>
  <c r="C22" i="16"/>
  <c r="B22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M22" i="15"/>
  <c r="L22" i="15"/>
  <c r="K22" i="15"/>
  <c r="J22" i="15"/>
  <c r="I22" i="15"/>
  <c r="H22" i="15"/>
  <c r="G22" i="15"/>
  <c r="F22" i="15"/>
  <c r="E22" i="15"/>
  <c r="D22" i="15"/>
  <c r="C22" i="15"/>
  <c r="B22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M22" i="14"/>
  <c r="L22" i="14"/>
  <c r="K22" i="14"/>
  <c r="J22" i="14"/>
  <c r="I22" i="14"/>
  <c r="H22" i="14"/>
  <c r="G22" i="14"/>
  <c r="F22" i="14"/>
  <c r="E22" i="14"/>
  <c r="D22" i="14"/>
  <c r="C22" i="14"/>
  <c r="B22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M22" i="13"/>
  <c r="L22" i="13"/>
  <c r="K22" i="13"/>
  <c r="J22" i="13"/>
  <c r="I22" i="13"/>
  <c r="H22" i="13"/>
  <c r="G22" i="13"/>
  <c r="F22" i="13"/>
  <c r="E22" i="13"/>
  <c r="D22" i="13"/>
  <c r="C22" i="13"/>
  <c r="B22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M22" i="12"/>
  <c r="L22" i="12"/>
  <c r="K22" i="12"/>
  <c r="J22" i="12"/>
  <c r="I22" i="12"/>
  <c r="H22" i="12"/>
  <c r="G22" i="12"/>
  <c r="F22" i="12"/>
  <c r="E22" i="12"/>
  <c r="D22" i="12"/>
  <c r="C22" i="12"/>
  <c r="B22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M22" i="11"/>
  <c r="L22" i="11"/>
  <c r="K22" i="11"/>
  <c r="J22" i="11"/>
  <c r="I22" i="11"/>
  <c r="H22" i="11"/>
  <c r="G22" i="11"/>
  <c r="F22" i="11"/>
  <c r="E22" i="11"/>
  <c r="D22" i="11"/>
  <c r="C22" i="11"/>
  <c r="B22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M22" i="10"/>
  <c r="L22" i="10"/>
  <c r="K22" i="10"/>
  <c r="J22" i="10"/>
  <c r="I22" i="10"/>
  <c r="H22" i="10"/>
  <c r="G22" i="10"/>
  <c r="F22" i="10"/>
  <c r="E22" i="10"/>
  <c r="D22" i="10"/>
  <c r="C22" i="10"/>
  <c r="B22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M22" i="9"/>
  <c r="L22" i="9"/>
  <c r="K22" i="9"/>
  <c r="J22" i="9"/>
  <c r="I22" i="9"/>
  <c r="H22" i="9"/>
  <c r="G22" i="9"/>
  <c r="F22" i="9"/>
  <c r="E22" i="9"/>
  <c r="D22" i="9"/>
  <c r="C22" i="9"/>
  <c r="B22" i="9"/>
  <c r="M21" i="9"/>
  <c r="L21" i="9"/>
  <c r="K21" i="9"/>
  <c r="J21" i="9"/>
  <c r="I21" i="9"/>
  <c r="H21" i="9"/>
  <c r="G21" i="9"/>
  <c r="F21" i="9"/>
  <c r="E21" i="9"/>
  <c r="D21" i="9"/>
  <c r="C21" i="9"/>
  <c r="B21" i="9"/>
  <c r="M20" i="9"/>
  <c r="L20" i="9"/>
  <c r="K20" i="9"/>
  <c r="J20" i="9"/>
  <c r="I20" i="9"/>
  <c r="H20" i="9"/>
  <c r="G20" i="9"/>
  <c r="F20" i="9"/>
  <c r="E20" i="9"/>
  <c r="D20" i="9"/>
  <c r="C20" i="9"/>
  <c r="B20" i="9"/>
  <c r="M19" i="9"/>
  <c r="L19" i="9"/>
  <c r="K19" i="9"/>
  <c r="J19" i="9"/>
  <c r="I19" i="9"/>
  <c r="H19" i="9"/>
  <c r="G19" i="9"/>
  <c r="F19" i="9"/>
  <c r="E19" i="9"/>
  <c r="D19" i="9"/>
  <c r="C19" i="9"/>
  <c r="B19" i="9"/>
  <c r="M18" i="9"/>
  <c r="L18" i="9"/>
  <c r="K18" i="9"/>
  <c r="J18" i="9"/>
  <c r="I18" i="9"/>
  <c r="H18" i="9"/>
  <c r="G18" i="9"/>
  <c r="F18" i="9"/>
  <c r="E18" i="9"/>
  <c r="D18" i="9"/>
  <c r="C18" i="9"/>
  <c r="B18" i="9"/>
  <c r="M17" i="9"/>
  <c r="L17" i="9"/>
  <c r="K17" i="9"/>
  <c r="J17" i="9"/>
  <c r="I17" i="9"/>
  <c r="H17" i="9"/>
  <c r="G17" i="9"/>
  <c r="F17" i="9"/>
  <c r="E17" i="9"/>
  <c r="D17" i="9"/>
  <c r="C17" i="9"/>
  <c r="B17" i="9"/>
  <c r="M16" i="9"/>
  <c r="L16" i="9"/>
  <c r="K16" i="9"/>
  <c r="J16" i="9"/>
  <c r="I16" i="9"/>
  <c r="H16" i="9"/>
  <c r="G16" i="9"/>
  <c r="F16" i="9"/>
  <c r="E16" i="9"/>
  <c r="D16" i="9"/>
  <c r="C16" i="9"/>
  <c r="B16" i="9"/>
  <c r="M15" i="9"/>
  <c r="L15" i="9"/>
  <c r="K15" i="9"/>
  <c r="J15" i="9"/>
  <c r="I15" i="9"/>
  <c r="H15" i="9"/>
  <c r="G15" i="9"/>
  <c r="F15" i="9"/>
  <c r="E15" i="9"/>
  <c r="D15" i="9"/>
  <c r="C15" i="9"/>
  <c r="B15" i="9"/>
  <c r="M22" i="7"/>
  <c r="L22" i="7"/>
  <c r="K22" i="7"/>
  <c r="J22" i="7"/>
  <c r="I22" i="7"/>
  <c r="H22" i="7"/>
  <c r="G22" i="7"/>
  <c r="F22" i="7"/>
  <c r="E22" i="7"/>
  <c r="D22" i="7"/>
  <c r="C22" i="7"/>
  <c r="B22" i="7"/>
  <c r="M21" i="7"/>
  <c r="L21" i="7"/>
  <c r="K21" i="7"/>
  <c r="J21" i="7"/>
  <c r="I21" i="7"/>
  <c r="H21" i="7"/>
  <c r="G21" i="7"/>
  <c r="F21" i="7"/>
  <c r="E21" i="7"/>
  <c r="D21" i="7"/>
  <c r="C21" i="7"/>
  <c r="B21" i="7"/>
  <c r="M20" i="7"/>
  <c r="L20" i="7"/>
  <c r="K20" i="7"/>
  <c r="J20" i="7"/>
  <c r="I20" i="7"/>
  <c r="H20" i="7"/>
  <c r="G20" i="7"/>
  <c r="F20" i="7"/>
  <c r="E20" i="7"/>
  <c r="D20" i="7"/>
  <c r="C20" i="7"/>
  <c r="B20" i="7"/>
  <c r="M19" i="7"/>
  <c r="L19" i="7"/>
  <c r="K19" i="7"/>
  <c r="J19" i="7"/>
  <c r="I19" i="7"/>
  <c r="H19" i="7"/>
  <c r="G19" i="7"/>
  <c r="F19" i="7"/>
  <c r="E19" i="7"/>
  <c r="D19" i="7"/>
  <c r="C19" i="7"/>
  <c r="B19" i="7"/>
  <c r="M18" i="7"/>
  <c r="L18" i="7"/>
  <c r="K18" i="7"/>
  <c r="J18" i="7"/>
  <c r="I18" i="7"/>
  <c r="H18" i="7"/>
  <c r="G18" i="7"/>
  <c r="F18" i="7"/>
  <c r="E18" i="7"/>
  <c r="D18" i="7"/>
  <c r="C18" i="7"/>
  <c r="B18" i="7"/>
  <c r="M17" i="7"/>
  <c r="L17" i="7"/>
  <c r="K17" i="7"/>
  <c r="J17" i="7"/>
  <c r="I17" i="7"/>
  <c r="H17" i="7"/>
  <c r="G17" i="7"/>
  <c r="F17" i="7"/>
  <c r="E17" i="7"/>
  <c r="D17" i="7"/>
  <c r="C17" i="7"/>
  <c r="B17" i="7"/>
  <c r="M16" i="7"/>
  <c r="L16" i="7"/>
  <c r="K16" i="7"/>
  <c r="J16" i="7"/>
  <c r="I16" i="7"/>
  <c r="H16" i="7"/>
  <c r="G16" i="7"/>
  <c r="F16" i="7"/>
  <c r="E16" i="7"/>
  <c r="D16" i="7"/>
  <c r="C16" i="7"/>
  <c r="B16" i="7"/>
  <c r="M15" i="7"/>
  <c r="L15" i="7"/>
  <c r="K15" i="7"/>
  <c r="J15" i="7"/>
  <c r="I15" i="7"/>
  <c r="H15" i="7"/>
  <c r="G15" i="7"/>
  <c r="F15" i="7"/>
  <c r="E15" i="7"/>
  <c r="D15" i="7"/>
  <c r="C15" i="7"/>
  <c r="B15" i="7"/>
  <c r="M22" i="6"/>
  <c r="L22" i="6"/>
  <c r="K22" i="6"/>
  <c r="J22" i="6"/>
  <c r="I22" i="6"/>
  <c r="H22" i="6"/>
  <c r="G22" i="6"/>
  <c r="F22" i="6"/>
  <c r="E22" i="6"/>
  <c r="D22" i="6"/>
  <c r="C22" i="6"/>
  <c r="B22" i="6"/>
  <c r="M21" i="6"/>
  <c r="L21" i="6"/>
  <c r="K21" i="6"/>
  <c r="J21" i="6"/>
  <c r="I21" i="6"/>
  <c r="H21" i="6"/>
  <c r="G21" i="6"/>
  <c r="F21" i="6"/>
  <c r="E21" i="6"/>
  <c r="D21" i="6"/>
  <c r="C21" i="6"/>
  <c r="B21" i="6"/>
  <c r="M20" i="6"/>
  <c r="L20" i="6"/>
  <c r="K20" i="6"/>
  <c r="J20" i="6"/>
  <c r="I20" i="6"/>
  <c r="H20" i="6"/>
  <c r="G20" i="6"/>
  <c r="F20" i="6"/>
  <c r="E20" i="6"/>
  <c r="D20" i="6"/>
  <c r="C20" i="6"/>
  <c r="B20" i="6"/>
  <c r="M19" i="6"/>
  <c r="L19" i="6"/>
  <c r="K19" i="6"/>
  <c r="J19" i="6"/>
  <c r="I19" i="6"/>
  <c r="H19" i="6"/>
  <c r="G19" i="6"/>
  <c r="F19" i="6"/>
  <c r="E19" i="6"/>
  <c r="D19" i="6"/>
  <c r="C19" i="6"/>
  <c r="B19" i="6"/>
  <c r="M18" i="6"/>
  <c r="L18" i="6"/>
  <c r="K18" i="6"/>
  <c r="J18" i="6"/>
  <c r="I18" i="6"/>
  <c r="H18" i="6"/>
  <c r="G18" i="6"/>
  <c r="F18" i="6"/>
  <c r="E18" i="6"/>
  <c r="D18" i="6"/>
  <c r="C18" i="6"/>
  <c r="B18" i="6"/>
  <c r="M17" i="6"/>
  <c r="L17" i="6"/>
  <c r="K17" i="6"/>
  <c r="J17" i="6"/>
  <c r="I17" i="6"/>
  <c r="H17" i="6"/>
  <c r="G17" i="6"/>
  <c r="F17" i="6"/>
  <c r="E17" i="6"/>
  <c r="D17" i="6"/>
  <c r="C17" i="6"/>
  <c r="B17" i="6"/>
  <c r="M16" i="6"/>
  <c r="L16" i="6"/>
  <c r="K16" i="6"/>
  <c r="J16" i="6"/>
  <c r="I16" i="6"/>
  <c r="H16" i="6"/>
  <c r="G16" i="6"/>
  <c r="F16" i="6"/>
  <c r="E16" i="6"/>
  <c r="D16" i="6"/>
  <c r="C16" i="6"/>
  <c r="B16" i="6"/>
  <c r="M15" i="6"/>
  <c r="L15" i="6"/>
  <c r="K15" i="6"/>
  <c r="J15" i="6"/>
  <c r="I15" i="6"/>
  <c r="H15" i="6"/>
  <c r="G15" i="6"/>
  <c r="F15" i="6"/>
  <c r="E15" i="6"/>
  <c r="D15" i="6"/>
  <c r="C15" i="6"/>
  <c r="B15" i="6"/>
  <c r="M22" i="5"/>
  <c r="L22" i="5"/>
  <c r="K22" i="5"/>
  <c r="J22" i="5"/>
  <c r="I22" i="5"/>
  <c r="H22" i="5"/>
  <c r="G22" i="5"/>
  <c r="F22" i="5"/>
  <c r="E22" i="5"/>
  <c r="D22" i="5"/>
  <c r="C22" i="5"/>
  <c r="B22" i="5"/>
  <c r="M21" i="5"/>
  <c r="L21" i="5"/>
  <c r="K21" i="5"/>
  <c r="J21" i="5"/>
  <c r="I21" i="5"/>
  <c r="H21" i="5"/>
  <c r="G21" i="5"/>
  <c r="F21" i="5"/>
  <c r="E21" i="5"/>
  <c r="D21" i="5"/>
  <c r="C21" i="5"/>
  <c r="B21" i="5"/>
  <c r="M20" i="5"/>
  <c r="L20" i="5"/>
  <c r="K20" i="5"/>
  <c r="J20" i="5"/>
  <c r="I20" i="5"/>
  <c r="H20" i="5"/>
  <c r="G20" i="5"/>
  <c r="F20" i="5"/>
  <c r="E20" i="5"/>
  <c r="D20" i="5"/>
  <c r="C20" i="5"/>
  <c r="B20" i="5"/>
  <c r="M19" i="5"/>
  <c r="L19" i="5"/>
  <c r="K19" i="5"/>
  <c r="J19" i="5"/>
  <c r="I19" i="5"/>
  <c r="H19" i="5"/>
  <c r="G19" i="5"/>
  <c r="F19" i="5"/>
  <c r="E19" i="5"/>
  <c r="D19" i="5"/>
  <c r="C19" i="5"/>
  <c r="B19" i="5"/>
  <c r="M18" i="5"/>
  <c r="L18" i="5"/>
  <c r="K18" i="5"/>
  <c r="J18" i="5"/>
  <c r="I18" i="5"/>
  <c r="H18" i="5"/>
  <c r="G18" i="5"/>
  <c r="F18" i="5"/>
  <c r="E18" i="5"/>
  <c r="D18" i="5"/>
  <c r="C18" i="5"/>
  <c r="B18" i="5"/>
  <c r="M17" i="5"/>
  <c r="L17" i="5"/>
  <c r="K17" i="5"/>
  <c r="J17" i="5"/>
  <c r="I17" i="5"/>
  <c r="H17" i="5"/>
  <c r="G17" i="5"/>
  <c r="F17" i="5"/>
  <c r="E17" i="5"/>
  <c r="D17" i="5"/>
  <c r="C17" i="5"/>
  <c r="B17" i="5"/>
  <c r="M16" i="5"/>
  <c r="L16" i="5"/>
  <c r="K16" i="5"/>
  <c r="J16" i="5"/>
  <c r="I16" i="5"/>
  <c r="H16" i="5"/>
  <c r="G16" i="5"/>
  <c r="F16" i="5"/>
  <c r="E16" i="5"/>
  <c r="D16" i="5"/>
  <c r="C16" i="5"/>
  <c r="B16" i="5"/>
  <c r="M15" i="5"/>
  <c r="L15" i="5"/>
  <c r="K15" i="5"/>
  <c r="J15" i="5"/>
  <c r="I15" i="5"/>
  <c r="H15" i="5"/>
  <c r="G15" i="5"/>
  <c r="F15" i="5"/>
  <c r="E15" i="5"/>
  <c r="D15" i="5"/>
  <c r="C15" i="5"/>
  <c r="B15" i="5"/>
  <c r="M22" i="4"/>
  <c r="L22" i="4"/>
  <c r="K22" i="4"/>
  <c r="J22" i="4"/>
  <c r="I22" i="4"/>
  <c r="H22" i="4"/>
  <c r="G22" i="4"/>
  <c r="F22" i="4"/>
  <c r="E22" i="4"/>
  <c r="D22" i="4"/>
  <c r="C22" i="4"/>
  <c r="B22" i="4"/>
  <c r="M21" i="4"/>
  <c r="L21" i="4"/>
  <c r="K21" i="4"/>
  <c r="J21" i="4"/>
  <c r="I21" i="4"/>
  <c r="H21" i="4"/>
  <c r="G21" i="4"/>
  <c r="F21" i="4"/>
  <c r="E21" i="4"/>
  <c r="D21" i="4"/>
  <c r="C21" i="4"/>
  <c r="B21" i="4"/>
  <c r="M20" i="4"/>
  <c r="L20" i="4"/>
  <c r="K20" i="4"/>
  <c r="J20" i="4"/>
  <c r="I20" i="4"/>
  <c r="H20" i="4"/>
  <c r="G20" i="4"/>
  <c r="F20" i="4"/>
  <c r="E20" i="4"/>
  <c r="D20" i="4"/>
  <c r="C20" i="4"/>
  <c r="B20" i="4"/>
  <c r="M19" i="4"/>
  <c r="L19" i="4"/>
  <c r="K19" i="4"/>
  <c r="J19" i="4"/>
  <c r="I19" i="4"/>
  <c r="H19" i="4"/>
  <c r="G19" i="4"/>
  <c r="F19" i="4"/>
  <c r="E19" i="4"/>
  <c r="D19" i="4"/>
  <c r="C19" i="4"/>
  <c r="B19" i="4"/>
  <c r="M18" i="4"/>
  <c r="L18" i="4"/>
  <c r="K18" i="4"/>
  <c r="J18" i="4"/>
  <c r="I18" i="4"/>
  <c r="H18" i="4"/>
  <c r="G18" i="4"/>
  <c r="F18" i="4"/>
  <c r="E18" i="4"/>
  <c r="D18" i="4"/>
  <c r="C18" i="4"/>
  <c r="B18" i="4"/>
  <c r="M17" i="4"/>
  <c r="L17" i="4"/>
  <c r="K17" i="4"/>
  <c r="J17" i="4"/>
  <c r="I17" i="4"/>
  <c r="H17" i="4"/>
  <c r="G17" i="4"/>
  <c r="F17" i="4"/>
  <c r="E17" i="4"/>
  <c r="D17" i="4"/>
  <c r="C17" i="4"/>
  <c r="B17" i="4"/>
  <c r="M16" i="4"/>
  <c r="L16" i="4"/>
  <c r="K16" i="4"/>
  <c r="J16" i="4"/>
  <c r="I16" i="4"/>
  <c r="H16" i="4"/>
  <c r="G16" i="4"/>
  <c r="F16" i="4"/>
  <c r="E16" i="4"/>
  <c r="D16" i="4"/>
  <c r="C16" i="4"/>
  <c r="B16" i="4"/>
  <c r="M15" i="4"/>
  <c r="L15" i="4"/>
  <c r="K15" i="4"/>
  <c r="J15" i="4"/>
  <c r="I15" i="4"/>
  <c r="H15" i="4"/>
  <c r="G15" i="4"/>
  <c r="F15" i="4"/>
  <c r="E15" i="4"/>
  <c r="D15" i="4"/>
  <c r="C15" i="4"/>
  <c r="B15" i="4"/>
  <c r="M22" i="3"/>
  <c r="L22" i="3"/>
  <c r="K22" i="3"/>
  <c r="J22" i="3"/>
  <c r="I22" i="3"/>
  <c r="H22" i="3"/>
  <c r="G22" i="3"/>
  <c r="F22" i="3"/>
  <c r="E22" i="3"/>
  <c r="D22" i="3"/>
  <c r="C22" i="3"/>
  <c r="B22" i="3"/>
  <c r="M21" i="3"/>
  <c r="L21" i="3"/>
  <c r="K21" i="3"/>
  <c r="J21" i="3"/>
  <c r="I21" i="3"/>
  <c r="H21" i="3"/>
  <c r="G21" i="3"/>
  <c r="F21" i="3"/>
  <c r="E21" i="3"/>
  <c r="D21" i="3"/>
  <c r="C21" i="3"/>
  <c r="B21" i="3"/>
  <c r="M20" i="3"/>
  <c r="L20" i="3"/>
  <c r="K20" i="3"/>
  <c r="J20" i="3"/>
  <c r="I20" i="3"/>
  <c r="H20" i="3"/>
  <c r="G20" i="3"/>
  <c r="F20" i="3"/>
  <c r="E20" i="3"/>
  <c r="D20" i="3"/>
  <c r="C20" i="3"/>
  <c r="B20" i="3"/>
  <c r="M19" i="3"/>
  <c r="L19" i="3"/>
  <c r="K19" i="3"/>
  <c r="J19" i="3"/>
  <c r="I19" i="3"/>
  <c r="H19" i="3"/>
  <c r="G19" i="3"/>
  <c r="F19" i="3"/>
  <c r="E19" i="3"/>
  <c r="D19" i="3"/>
  <c r="C19" i="3"/>
  <c r="B19" i="3"/>
  <c r="M18" i="3"/>
  <c r="L18" i="3"/>
  <c r="K18" i="3"/>
  <c r="J18" i="3"/>
  <c r="I18" i="3"/>
  <c r="H18" i="3"/>
  <c r="G18" i="3"/>
  <c r="F18" i="3"/>
  <c r="E18" i="3"/>
  <c r="D18" i="3"/>
  <c r="C18" i="3"/>
  <c r="B18" i="3"/>
  <c r="M17" i="3"/>
  <c r="L17" i="3"/>
  <c r="K17" i="3"/>
  <c r="J17" i="3"/>
  <c r="I17" i="3"/>
  <c r="H17" i="3"/>
  <c r="G17" i="3"/>
  <c r="F17" i="3"/>
  <c r="E17" i="3"/>
  <c r="D17" i="3"/>
  <c r="C17" i="3"/>
  <c r="B17" i="3"/>
  <c r="M16" i="3"/>
  <c r="L16" i="3"/>
  <c r="K16" i="3"/>
  <c r="J16" i="3"/>
  <c r="I16" i="3"/>
  <c r="H16" i="3"/>
  <c r="G16" i="3"/>
  <c r="F16" i="3"/>
  <c r="E16" i="3"/>
  <c r="D16" i="3"/>
  <c r="C16" i="3"/>
  <c r="B16" i="3"/>
  <c r="M15" i="3"/>
  <c r="L15" i="3"/>
  <c r="K15" i="3"/>
  <c r="J15" i="3"/>
  <c r="I15" i="3"/>
  <c r="H15" i="3"/>
  <c r="G15" i="3"/>
  <c r="F15" i="3"/>
  <c r="E15" i="3"/>
  <c r="D15" i="3"/>
  <c r="C15" i="3"/>
  <c r="B15" i="3"/>
  <c r="B15" i="8"/>
  <c r="C15" i="8"/>
  <c r="D15" i="8"/>
  <c r="E15" i="8"/>
  <c r="F15" i="8"/>
  <c r="G15" i="8"/>
  <c r="H15" i="8"/>
  <c r="I15" i="8"/>
  <c r="J15" i="8"/>
  <c r="K15" i="8"/>
  <c r="L15" i="8"/>
  <c r="M15" i="8"/>
  <c r="B16" i="8"/>
  <c r="C16" i="8"/>
  <c r="D16" i="8"/>
  <c r="E16" i="8"/>
  <c r="F16" i="8"/>
  <c r="G16" i="8"/>
  <c r="H16" i="8"/>
  <c r="I16" i="8"/>
  <c r="J16" i="8"/>
  <c r="K16" i="8"/>
  <c r="L16" i="8"/>
  <c r="M16" i="8"/>
  <c r="B17" i="8"/>
  <c r="C17" i="8"/>
  <c r="D17" i="8"/>
  <c r="E17" i="8"/>
  <c r="F17" i="8"/>
  <c r="G17" i="8"/>
  <c r="H17" i="8"/>
  <c r="I17" i="8"/>
  <c r="J17" i="8"/>
  <c r="K17" i="8"/>
  <c r="L17" i="8"/>
  <c r="M17" i="8"/>
  <c r="B18" i="8"/>
  <c r="C18" i="8"/>
  <c r="D18" i="8"/>
  <c r="E18" i="8"/>
  <c r="F18" i="8"/>
  <c r="G18" i="8"/>
  <c r="H18" i="8"/>
  <c r="I18" i="8"/>
  <c r="J18" i="8"/>
  <c r="K18" i="8"/>
  <c r="L18" i="8"/>
  <c r="M18" i="8"/>
  <c r="B19" i="8"/>
  <c r="C19" i="8"/>
  <c r="D19" i="8"/>
  <c r="E19" i="8"/>
  <c r="F19" i="8"/>
  <c r="G19" i="8"/>
  <c r="H19" i="8"/>
  <c r="I19" i="8"/>
  <c r="J19" i="8"/>
  <c r="K19" i="8"/>
  <c r="L19" i="8"/>
  <c r="M19" i="8"/>
  <c r="B20" i="8"/>
  <c r="C20" i="8"/>
  <c r="D20" i="8"/>
  <c r="E20" i="8"/>
  <c r="F20" i="8"/>
  <c r="G20" i="8"/>
  <c r="H20" i="8"/>
  <c r="I20" i="8"/>
  <c r="J20" i="8"/>
  <c r="K20" i="8"/>
  <c r="L20" i="8"/>
  <c r="M20" i="8"/>
  <c r="B21" i="8"/>
  <c r="C21" i="8"/>
  <c r="D21" i="8"/>
  <c r="E21" i="8"/>
  <c r="F21" i="8"/>
  <c r="G21" i="8"/>
  <c r="H21" i="8"/>
  <c r="I21" i="8"/>
  <c r="J21" i="8"/>
  <c r="K21" i="8"/>
  <c r="L21" i="8"/>
  <c r="M21" i="8"/>
  <c r="B22" i="8"/>
  <c r="C22" i="8"/>
  <c r="D22" i="8"/>
  <c r="E22" i="8"/>
  <c r="F22" i="8"/>
  <c r="G22" i="8"/>
  <c r="H22" i="8"/>
  <c r="I22" i="8"/>
  <c r="J22" i="8"/>
  <c r="K22" i="8"/>
  <c r="L22" i="8"/>
  <c r="M22" i="8"/>
  <c r="B16" i="2"/>
  <c r="C16" i="2"/>
  <c r="D16" i="2"/>
  <c r="E16" i="2"/>
  <c r="F16" i="2"/>
  <c r="G16" i="2"/>
  <c r="H16" i="2"/>
  <c r="I16" i="2"/>
  <c r="J16" i="2"/>
  <c r="K16" i="2"/>
  <c r="L16" i="2"/>
  <c r="M16" i="2"/>
  <c r="B17" i="2"/>
  <c r="C17" i="2"/>
  <c r="D17" i="2"/>
  <c r="E17" i="2"/>
  <c r="F17" i="2"/>
  <c r="G17" i="2"/>
  <c r="H17" i="2"/>
  <c r="I17" i="2"/>
  <c r="J17" i="2"/>
  <c r="K17" i="2"/>
  <c r="L17" i="2"/>
  <c r="M17" i="2"/>
  <c r="B18" i="2"/>
  <c r="C18" i="2"/>
  <c r="D18" i="2"/>
  <c r="E18" i="2"/>
  <c r="F18" i="2"/>
  <c r="G18" i="2"/>
  <c r="H18" i="2"/>
  <c r="I18" i="2"/>
  <c r="J18" i="2"/>
  <c r="K18" i="2"/>
  <c r="L18" i="2"/>
  <c r="M18" i="2"/>
  <c r="B19" i="2"/>
  <c r="C19" i="2"/>
  <c r="D19" i="2"/>
  <c r="E19" i="2"/>
  <c r="F19" i="2"/>
  <c r="G19" i="2"/>
  <c r="H19" i="2"/>
  <c r="I19" i="2"/>
  <c r="J19" i="2"/>
  <c r="K19" i="2"/>
  <c r="L19" i="2"/>
  <c r="M19" i="2"/>
  <c r="B20" i="2"/>
  <c r="C20" i="2"/>
  <c r="D20" i="2"/>
  <c r="E20" i="2"/>
  <c r="F20" i="2"/>
  <c r="G20" i="2"/>
  <c r="H20" i="2"/>
  <c r="I20" i="2"/>
  <c r="J20" i="2"/>
  <c r="K20" i="2"/>
  <c r="L20" i="2"/>
  <c r="M20" i="2"/>
  <c r="B21" i="2"/>
  <c r="C21" i="2"/>
  <c r="D21" i="2"/>
  <c r="E21" i="2"/>
  <c r="F21" i="2"/>
  <c r="G21" i="2"/>
  <c r="H21" i="2"/>
  <c r="I21" i="2"/>
  <c r="J21" i="2"/>
  <c r="K21" i="2"/>
  <c r="L21" i="2"/>
  <c r="M21" i="2"/>
  <c r="B22" i="2"/>
  <c r="C22" i="2"/>
  <c r="D22" i="2"/>
  <c r="E22" i="2"/>
  <c r="F22" i="2"/>
  <c r="G22" i="2"/>
  <c r="H22" i="2"/>
  <c r="I22" i="2"/>
  <c r="J22" i="2"/>
  <c r="K22" i="2"/>
  <c r="L22" i="2"/>
  <c r="M22" i="2"/>
  <c r="C15" i="2"/>
  <c r="D15" i="2"/>
  <c r="E15" i="2"/>
  <c r="F15" i="2"/>
  <c r="G15" i="2"/>
  <c r="H15" i="2"/>
  <c r="I15" i="2"/>
  <c r="J15" i="2"/>
  <c r="K15" i="2"/>
  <c r="L15" i="2"/>
  <c r="M15" i="2"/>
  <c r="B15" i="2"/>
</calcChain>
</file>

<file path=xl/sharedStrings.xml><?xml version="1.0" encoding="utf-8"?>
<sst xmlns="http://schemas.openxmlformats.org/spreadsheetml/2006/main" count="1470" uniqueCount="33">
  <si>
    <t>*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</si>
  <si>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</si>
  <si>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</si>
  <si>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</si>
  <si>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</si>
  <si>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</si>
  <si>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</si>
  <si>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</si>
  <si>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</si>
  <si>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</si>
  <si>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</si>
  <si>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</si>
  <si>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</si>
  <si>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</si>
  <si>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</si>
  <si>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</si>
  <si>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</si>
  <si>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</si>
  <si>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</si>
  <si>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</si>
  <si>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</si>
  <si>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Mean 1-2</t>
  </si>
  <si>
    <t>DE 1-2</t>
  </si>
  <si>
    <t>DE 9-10</t>
  </si>
  <si>
    <t>Mean 9-10</t>
  </si>
  <si>
    <t>DE 7-8</t>
  </si>
  <si>
    <t>Mean 7-8</t>
  </si>
  <si>
    <t>Mean 5-6</t>
  </si>
  <si>
    <t>DE 5-6</t>
  </si>
  <si>
    <t>DE 3-4</t>
  </si>
  <si>
    <t>Mean 3-4</t>
  </si>
  <si>
    <t>DE 11-12</t>
  </si>
  <si>
    <t>Mean 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</si>
</sst>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54626-6C60-48F0-978B-B0E2C09574C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2382-333B-4C8D-A482-A37E001662E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workbookViewId="0">
      <selection activeCell="D27" sqref="D27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0.109</v>
      </c>
      <c r="C3">
        <v>9.2999999999999999E-2</v>
      </c>
      <c r="D3">
        <v>8.7999999999999995E-2</v>
      </c>
      <c r="E3">
        <v>9.7000000000000003E-2</v>
      </c>
      <c r="F3">
        <v>0.13400000000000001</v>
      </c>
      <c r="G3">
        <v>0.11700000000000001</v>
      </c>
      <c r="H3">
        <v>9.1999999999999998E-2</v>
      </c>
      <c r="I3">
        <v>6.8000000000000005E-2</v>
      </c>
      <c r="J3">
        <v>5.3999999999999999E-2</v>
      </c>
      <c r="K3">
        <v>6.3E-2</v>
      </c>
      <c r="L3">
        <v>0.12</v>
      </c>
      <c r="M3">
        <v>9.1999999999999998E-2</v>
      </c>
    </row>
    <row r="4" spans="1:13" x14ac:dyDescent="0.3">
      <c r="A4" t="s">
        <v>14</v>
      </c>
      <c r="B4">
        <v>0.129</v>
      </c>
      <c r="C4">
        <v>0.159</v>
      </c>
      <c r="D4">
        <v>9.0999999999999998E-2</v>
      </c>
      <c r="E4">
        <v>9.0999999999999998E-2</v>
      </c>
      <c r="F4">
        <v>0.152</v>
      </c>
      <c r="G4">
        <v>0.127</v>
      </c>
      <c r="H4">
        <v>0.105</v>
      </c>
      <c r="I4">
        <v>9.9000000000000005E-2</v>
      </c>
      <c r="J4">
        <v>6.4000000000000001E-2</v>
      </c>
      <c r="K4">
        <v>5.3999999999999999E-2</v>
      </c>
      <c r="L4">
        <v>9.4E-2</v>
      </c>
      <c r="M4">
        <v>0.111</v>
      </c>
    </row>
    <row r="5" spans="1:13" x14ac:dyDescent="0.3">
      <c r="A5" t="s">
        <v>15</v>
      </c>
      <c r="B5">
        <v>0.13200000000000001</v>
      </c>
      <c r="C5">
        <v>0.17899999999999999</v>
      </c>
      <c r="D5">
        <v>8.4000000000000005E-2</v>
      </c>
      <c r="E5">
        <v>8.1000000000000003E-2</v>
      </c>
      <c r="F5">
        <v>0.10299999999999999</v>
      </c>
      <c r="G5">
        <v>0.115</v>
      </c>
      <c r="H5">
        <v>0.08</v>
      </c>
      <c r="I5">
        <v>6.6000000000000003E-2</v>
      </c>
      <c r="J5">
        <v>9.4E-2</v>
      </c>
      <c r="K5">
        <v>0.11899999999999999</v>
      </c>
      <c r="L5">
        <v>0.114</v>
      </c>
      <c r="M5">
        <v>0.107</v>
      </c>
    </row>
    <row r="6" spans="1:13" x14ac:dyDescent="0.3">
      <c r="A6" t="s">
        <v>16</v>
      </c>
      <c r="B6">
        <v>0.16500000000000001</v>
      </c>
      <c r="C6">
        <v>0.19600000000000001</v>
      </c>
      <c r="D6">
        <v>0.107</v>
      </c>
      <c r="E6">
        <v>9.9000000000000005E-2</v>
      </c>
      <c r="F6">
        <v>0.127</v>
      </c>
      <c r="G6">
        <v>0.185</v>
      </c>
      <c r="H6">
        <v>8.4000000000000005E-2</v>
      </c>
      <c r="I6">
        <v>0.111</v>
      </c>
      <c r="J6">
        <v>8.3000000000000004E-2</v>
      </c>
      <c r="K6">
        <v>8.4000000000000005E-2</v>
      </c>
      <c r="L6">
        <v>0.10100000000000001</v>
      </c>
      <c r="M6">
        <v>9.7000000000000003E-2</v>
      </c>
    </row>
    <row r="7" spans="1:13" x14ac:dyDescent="0.3">
      <c r="A7" t="s">
        <v>17</v>
      </c>
      <c r="B7">
        <v>0.128</v>
      </c>
      <c r="C7">
        <v>0.13500000000000001</v>
      </c>
      <c r="D7">
        <v>0.08</v>
      </c>
      <c r="E7">
        <v>8.4000000000000005E-2</v>
      </c>
      <c r="F7">
        <v>0.109</v>
      </c>
      <c r="G7">
        <v>0.1</v>
      </c>
      <c r="H7">
        <v>9.0999999999999998E-2</v>
      </c>
      <c r="I7">
        <v>8.4000000000000005E-2</v>
      </c>
      <c r="J7">
        <v>6.8000000000000005E-2</v>
      </c>
      <c r="K7">
        <v>6.9000000000000006E-2</v>
      </c>
      <c r="L7">
        <v>0.65900000000000003</v>
      </c>
      <c r="M7">
        <v>9.7000000000000003E-2</v>
      </c>
    </row>
    <row r="8" spans="1:13" x14ac:dyDescent="0.3">
      <c r="A8" t="s">
        <v>18</v>
      </c>
      <c r="B8">
        <v>0.108</v>
      </c>
      <c r="C8">
        <v>8.7999999999999995E-2</v>
      </c>
      <c r="D8">
        <v>0.08</v>
      </c>
      <c r="E8">
        <v>7.3999999999999996E-2</v>
      </c>
      <c r="F8">
        <v>9.6000000000000002E-2</v>
      </c>
      <c r="G8">
        <v>7.4999999999999997E-2</v>
      </c>
      <c r="H8">
        <v>7.6999999999999999E-2</v>
      </c>
      <c r="I8">
        <v>5.8999999999999997E-2</v>
      </c>
      <c r="J8">
        <v>0.05</v>
      </c>
      <c r="K8">
        <v>6.4000000000000001E-2</v>
      </c>
      <c r="L8">
        <v>0.375</v>
      </c>
      <c r="M8">
        <v>9.8000000000000004E-2</v>
      </c>
    </row>
    <row r="9" spans="1:13" x14ac:dyDescent="0.3">
      <c r="A9" t="s">
        <v>19</v>
      </c>
      <c r="B9">
        <v>0.14299999999999999</v>
      </c>
      <c r="C9">
        <v>0.158</v>
      </c>
      <c r="D9">
        <v>0.1</v>
      </c>
      <c r="E9">
        <v>0.10299999999999999</v>
      </c>
      <c r="F9">
        <v>0.113</v>
      </c>
      <c r="G9">
        <v>9.7000000000000003E-2</v>
      </c>
      <c r="H9">
        <v>6.9000000000000006E-2</v>
      </c>
      <c r="I9">
        <v>7.4999999999999997E-2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3">
      <c r="A10" t="s">
        <v>20</v>
      </c>
      <c r="B10">
        <v>0.2</v>
      </c>
      <c r="C10">
        <v>0.182</v>
      </c>
      <c r="D10">
        <v>0.104</v>
      </c>
      <c r="E10">
        <v>0.11</v>
      </c>
      <c r="F10">
        <v>0.19900000000000001</v>
      </c>
      <c r="G10">
        <v>0.153</v>
      </c>
      <c r="H10">
        <v>9.5000000000000001E-2</v>
      </c>
      <c r="I10">
        <v>9.1999999999999998E-2</v>
      </c>
      <c r="J10">
        <v>9.6000000000000002E-2</v>
      </c>
      <c r="K10">
        <v>0.125</v>
      </c>
      <c r="L10">
        <v>0.125</v>
      </c>
      <c r="M10">
        <v>9.7000000000000003E-2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"/>
  <sheetViews>
    <sheetView topLeftCell="A15" workbookViewId="0">
      <selection activeCell="D39" sqref="D39"/>
    </sheetView>
  </sheetViews>
  <sheetFormatPr baseColWidth="10" defaultColWidth="8.88671875" defaultRowHeight="14.4" x14ac:dyDescent="0.3"/>
  <cols>
    <col min="2" max="2" width="10.44140625" customWidth="1"/>
    <col min="15" max="15" width="8.88671875" style="6"/>
    <col min="16" max="16" width="11.33203125" style="6" bestFit="1" customWidth="1"/>
    <col min="17" max="22" width="8.88671875" style="6"/>
    <col min="23" max="23" width="10.109375" style="6" customWidth="1"/>
    <col min="24" max="24" width="8.88671875" style="6"/>
    <col min="25" max="25" width="10.88671875" style="6" customWidth="1"/>
    <col min="26" max="26" width="8.88671875" style="6"/>
  </cols>
  <sheetData>
    <row r="1" spans="1:25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2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25" x14ac:dyDescent="0.3">
      <c r="A3" t="s">
        <v>13</v>
      </c>
      <c r="B3" s="3">
        <v>9.8000000000000004E-2</v>
      </c>
      <c r="C3" s="3">
        <v>8.5000000000000006E-2</v>
      </c>
      <c r="D3" s="3">
        <v>7.2999999999999995E-2</v>
      </c>
      <c r="E3" s="3">
        <v>8.6999999999999994E-2</v>
      </c>
      <c r="F3" s="3">
        <v>0.14699999999999999</v>
      </c>
      <c r="G3" s="3">
        <v>0.115</v>
      </c>
      <c r="H3" s="3">
        <v>8.3000000000000004E-2</v>
      </c>
      <c r="I3" s="3">
        <v>6.0999999999999999E-2</v>
      </c>
      <c r="J3" s="3">
        <v>5.0999999999999997E-2</v>
      </c>
      <c r="K3" s="3">
        <v>5.1999999999999998E-2</v>
      </c>
      <c r="L3" s="3">
        <v>0.12</v>
      </c>
      <c r="M3" s="3">
        <v>9.1999999999999998E-2</v>
      </c>
    </row>
    <row r="4" spans="1:25" x14ac:dyDescent="0.3">
      <c r="A4" t="s">
        <v>14</v>
      </c>
      <c r="B4" s="3">
        <v>0.128</v>
      </c>
      <c r="C4" s="3">
        <v>0.14000000000000001</v>
      </c>
      <c r="D4" s="3">
        <v>7.5999999999999998E-2</v>
      </c>
      <c r="E4" s="3">
        <v>8.4000000000000005E-2</v>
      </c>
      <c r="F4" s="3">
        <v>0.14599999999999999</v>
      </c>
      <c r="G4" s="3">
        <v>0.127</v>
      </c>
      <c r="H4" s="3">
        <v>9.0999999999999998E-2</v>
      </c>
      <c r="I4" s="3">
        <v>9.1999999999999998E-2</v>
      </c>
      <c r="J4" s="3">
        <v>6.2E-2</v>
      </c>
      <c r="K4" s="3">
        <v>5.1999999999999998E-2</v>
      </c>
      <c r="L4" s="3">
        <v>9.4E-2</v>
      </c>
      <c r="M4" s="3">
        <v>0.111</v>
      </c>
    </row>
    <row r="5" spans="1:25" x14ac:dyDescent="0.3">
      <c r="A5" t="s">
        <v>15</v>
      </c>
      <c r="B5" s="3">
        <v>0.14099999999999999</v>
      </c>
      <c r="C5" s="3">
        <v>0.14199999999999999</v>
      </c>
      <c r="D5" s="3">
        <v>0.08</v>
      </c>
      <c r="E5" s="3">
        <v>0.08</v>
      </c>
      <c r="F5" s="3">
        <v>0.10100000000000001</v>
      </c>
      <c r="G5" s="3">
        <v>0.11600000000000001</v>
      </c>
      <c r="H5" s="3">
        <v>7.4999999999999997E-2</v>
      </c>
      <c r="I5" s="3">
        <v>6.9000000000000006E-2</v>
      </c>
      <c r="J5" s="3">
        <v>9.4E-2</v>
      </c>
      <c r="K5" s="3">
        <v>0.11799999999999999</v>
      </c>
      <c r="L5" s="3">
        <v>0.114</v>
      </c>
      <c r="M5" s="3">
        <v>0.107</v>
      </c>
    </row>
    <row r="6" spans="1:25" x14ac:dyDescent="0.3">
      <c r="A6" t="s">
        <v>16</v>
      </c>
      <c r="B6" s="3">
        <v>0.17100000000000001</v>
      </c>
      <c r="C6" s="3">
        <v>0.184</v>
      </c>
      <c r="D6" s="3">
        <v>8.2000000000000003E-2</v>
      </c>
      <c r="E6" s="3">
        <v>9.0999999999999998E-2</v>
      </c>
      <c r="F6" s="3">
        <v>0.11700000000000001</v>
      </c>
      <c r="G6" s="3">
        <v>0.19900000000000001</v>
      </c>
      <c r="H6" s="3">
        <v>6.8000000000000005E-2</v>
      </c>
      <c r="I6" s="3">
        <v>0.109</v>
      </c>
      <c r="J6" s="3">
        <v>8.3000000000000004E-2</v>
      </c>
      <c r="K6" s="3">
        <v>8.4000000000000005E-2</v>
      </c>
      <c r="L6" s="3">
        <v>0.10100000000000001</v>
      </c>
      <c r="M6" s="3">
        <v>9.7000000000000003E-2</v>
      </c>
    </row>
    <row r="7" spans="1:25" x14ac:dyDescent="0.3">
      <c r="A7" t="s">
        <v>17</v>
      </c>
      <c r="B7" s="3">
        <v>0.13400000000000001</v>
      </c>
      <c r="C7" s="3">
        <v>0.151</v>
      </c>
      <c r="D7" s="3">
        <v>0.08</v>
      </c>
      <c r="E7" s="3">
        <v>8.7999999999999995E-2</v>
      </c>
      <c r="F7" s="3">
        <v>0.112</v>
      </c>
      <c r="G7" s="3">
        <v>0.10299999999999999</v>
      </c>
      <c r="H7" s="3">
        <v>9.4E-2</v>
      </c>
      <c r="I7" s="3">
        <v>8.4000000000000005E-2</v>
      </c>
      <c r="J7" s="3">
        <v>6.9000000000000006E-2</v>
      </c>
      <c r="K7" s="3">
        <v>6.9000000000000006E-2</v>
      </c>
      <c r="L7" s="3">
        <v>0.64300000000000002</v>
      </c>
      <c r="M7" s="3">
        <v>9.7000000000000003E-2</v>
      </c>
    </row>
    <row r="8" spans="1:25" x14ac:dyDescent="0.3">
      <c r="A8" t="s">
        <v>18</v>
      </c>
      <c r="B8" s="3">
        <v>0.11600000000000001</v>
      </c>
      <c r="C8" s="3">
        <v>9.0999999999999998E-2</v>
      </c>
      <c r="D8" s="3">
        <v>7.9000000000000001E-2</v>
      </c>
      <c r="E8" s="3">
        <v>7.4999999999999997E-2</v>
      </c>
      <c r="F8" s="3">
        <v>9.6000000000000002E-2</v>
      </c>
      <c r="G8" s="3">
        <v>7.9000000000000001E-2</v>
      </c>
      <c r="H8" s="3">
        <v>7.5999999999999998E-2</v>
      </c>
      <c r="I8" s="3">
        <v>5.8999999999999997E-2</v>
      </c>
      <c r="J8" s="3">
        <v>5.0999999999999997E-2</v>
      </c>
      <c r="K8" s="3">
        <v>6.2E-2</v>
      </c>
      <c r="L8" s="3">
        <v>0.36899999999999999</v>
      </c>
      <c r="M8" s="3">
        <v>9.7000000000000003E-2</v>
      </c>
    </row>
    <row r="9" spans="1:25" x14ac:dyDescent="0.3">
      <c r="A9" t="s">
        <v>19</v>
      </c>
      <c r="B9" s="3">
        <v>0.151</v>
      </c>
      <c r="C9" s="3">
        <v>0.16200000000000001</v>
      </c>
      <c r="D9" s="3">
        <v>0.1</v>
      </c>
      <c r="E9" s="3">
        <v>0.105</v>
      </c>
      <c r="F9" s="3">
        <v>0.11600000000000001</v>
      </c>
      <c r="G9" s="3">
        <v>9.8000000000000004E-2</v>
      </c>
      <c r="H9" s="3">
        <v>7.0000000000000007E-2</v>
      </c>
      <c r="I9" s="3">
        <v>7.3999999999999996E-2</v>
      </c>
      <c r="J9" s="3">
        <v>0.11600000000000001</v>
      </c>
      <c r="K9" s="3">
        <v>0.114</v>
      </c>
      <c r="L9" s="3">
        <v>0.104</v>
      </c>
      <c r="M9" s="3">
        <v>0.13300000000000001</v>
      </c>
    </row>
    <row r="10" spans="1:25" x14ac:dyDescent="0.3">
      <c r="A10" t="s">
        <v>20</v>
      </c>
      <c r="B10" s="3">
        <v>0.219</v>
      </c>
      <c r="C10" s="3">
        <v>0.20499999999999999</v>
      </c>
      <c r="D10" s="3">
        <v>0.105</v>
      </c>
      <c r="E10" s="3">
        <v>0.112</v>
      </c>
      <c r="F10" s="3">
        <v>0.22600000000000001</v>
      </c>
      <c r="G10" s="3">
        <v>0.159</v>
      </c>
      <c r="H10" s="3">
        <v>9.7000000000000003E-2</v>
      </c>
      <c r="I10" s="3">
        <v>9.1999999999999998E-2</v>
      </c>
      <c r="J10" s="3">
        <v>9.6000000000000002E-2</v>
      </c>
      <c r="K10" s="3">
        <v>0.125</v>
      </c>
      <c r="L10" s="3">
        <v>0.125</v>
      </c>
      <c r="M10" s="3">
        <v>9.6000000000000002E-2</v>
      </c>
    </row>
    <row r="14" spans="1:25" x14ac:dyDescent="0.3">
      <c r="A14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G14" s="4" t="s">
        <v>6</v>
      </c>
      <c r="H14" s="4" t="s">
        <v>7</v>
      </c>
      <c r="I14" s="4" t="s">
        <v>8</v>
      </c>
      <c r="J14" s="4" t="s">
        <v>9</v>
      </c>
      <c r="K14" s="4" t="s">
        <v>10</v>
      </c>
      <c r="L14" s="4" t="s">
        <v>11</v>
      </c>
      <c r="M14" s="4" t="s">
        <v>12</v>
      </c>
    </row>
    <row r="15" spans="1:25" x14ac:dyDescent="0.3">
      <c r="A15" t="s">
        <v>13</v>
      </c>
      <c r="B15" s="5">
        <f xml:space="preserve"> B3 - B3</f>
        <v>0</v>
      </c>
      <c r="C15" s="5">
        <f t="shared" ref="C15:M15" si="0" xml:space="preserve"> C3 - C3</f>
        <v>0</v>
      </c>
      <c r="D15" s="5">
        <f t="shared" si="0"/>
        <v>0</v>
      </c>
      <c r="E15" s="5">
        <f t="shared" si="0"/>
        <v>0</v>
      </c>
      <c r="F15" s="5">
        <f t="shared" si="0"/>
        <v>0</v>
      </c>
      <c r="G15" s="5">
        <f t="shared" si="0"/>
        <v>0</v>
      </c>
      <c r="H15" s="5">
        <f t="shared" si="0"/>
        <v>0</v>
      </c>
      <c r="I15" s="5">
        <f t="shared" si="0"/>
        <v>0</v>
      </c>
      <c r="J15" s="5">
        <f t="shared" si="0"/>
        <v>0</v>
      </c>
      <c r="K15" s="5">
        <f t="shared" si="0"/>
        <v>0</v>
      </c>
      <c r="L15" s="5">
        <f t="shared" si="0"/>
        <v>0</v>
      </c>
      <c r="M15" s="5">
        <f t="shared" si="0"/>
        <v>0</v>
      </c>
      <c r="O15" s="7"/>
      <c r="Q15" s="7"/>
      <c r="S15" s="7"/>
      <c r="U15" s="7"/>
      <c r="W15" s="7"/>
      <c r="Y15" s="7"/>
    </row>
    <row r="16" spans="1:25" x14ac:dyDescent="0.3">
      <c r="A16" t="s">
        <v>14</v>
      </c>
      <c r="B16" s="5">
        <f t="shared" ref="B16:M16" si="1" xml:space="preserve"> B4 - B4</f>
        <v>0</v>
      </c>
      <c r="C16" s="5">
        <f t="shared" si="1"/>
        <v>0</v>
      </c>
      <c r="D16" s="5">
        <f t="shared" si="1"/>
        <v>0</v>
      </c>
      <c r="E16" s="5">
        <f t="shared" si="1"/>
        <v>0</v>
      </c>
      <c r="F16" s="5">
        <f t="shared" si="1"/>
        <v>0</v>
      </c>
      <c r="G16" s="5">
        <f t="shared" si="1"/>
        <v>0</v>
      </c>
      <c r="H16" s="5">
        <f t="shared" si="1"/>
        <v>0</v>
      </c>
      <c r="I16" s="5">
        <f t="shared" si="1"/>
        <v>0</v>
      </c>
      <c r="J16" s="5">
        <f t="shared" si="1"/>
        <v>0</v>
      </c>
      <c r="K16" s="5">
        <f t="shared" si="1"/>
        <v>0</v>
      </c>
      <c r="L16" s="5">
        <f t="shared" si="1"/>
        <v>0</v>
      </c>
      <c r="M16" s="5">
        <f t="shared" si="1"/>
        <v>0</v>
      </c>
      <c r="O16" s="7"/>
      <c r="Q16" s="7"/>
      <c r="S16" s="7"/>
      <c r="U16" s="7"/>
      <c r="W16" s="7"/>
      <c r="Y16" s="7"/>
    </row>
    <row r="17" spans="1:25" x14ac:dyDescent="0.3">
      <c r="A17" t="s">
        <v>15</v>
      </c>
      <c r="B17" s="5">
        <f t="shared" ref="B17:M17" si="2" xml:space="preserve"> B5 - B5</f>
        <v>0</v>
      </c>
      <c r="C17" s="5">
        <f t="shared" si="2"/>
        <v>0</v>
      </c>
      <c r="D17" s="5">
        <f t="shared" si="2"/>
        <v>0</v>
      </c>
      <c r="E17" s="5">
        <f t="shared" si="2"/>
        <v>0</v>
      </c>
      <c r="F17" s="5">
        <f t="shared" si="2"/>
        <v>0</v>
      </c>
      <c r="G17" s="5">
        <f t="shared" si="2"/>
        <v>0</v>
      </c>
      <c r="H17" s="5">
        <f t="shared" si="2"/>
        <v>0</v>
      </c>
      <c r="I17" s="5">
        <f t="shared" si="2"/>
        <v>0</v>
      </c>
      <c r="J17" s="5">
        <f t="shared" si="2"/>
        <v>0</v>
      </c>
      <c r="K17" s="5">
        <f t="shared" si="2"/>
        <v>0</v>
      </c>
      <c r="L17" s="5">
        <f t="shared" si="2"/>
        <v>0</v>
      </c>
      <c r="M17" s="5">
        <f t="shared" si="2"/>
        <v>0</v>
      </c>
      <c r="O17" s="7"/>
      <c r="Q17" s="7"/>
      <c r="S17" s="7"/>
      <c r="U17" s="7"/>
      <c r="W17" s="7"/>
      <c r="Y17" s="7"/>
    </row>
    <row r="18" spans="1:25" x14ac:dyDescent="0.3">
      <c r="A18" t="s">
        <v>16</v>
      </c>
      <c r="B18" s="5">
        <f t="shared" ref="B18:M18" si="3" xml:space="preserve"> B6 - B6</f>
        <v>0</v>
      </c>
      <c r="C18" s="5">
        <f t="shared" si="3"/>
        <v>0</v>
      </c>
      <c r="D18" s="5">
        <f t="shared" si="3"/>
        <v>0</v>
      </c>
      <c r="E18" s="5">
        <f t="shared" si="3"/>
        <v>0</v>
      </c>
      <c r="F18" s="5">
        <f t="shared" si="3"/>
        <v>0</v>
      </c>
      <c r="G18" s="5">
        <f t="shared" si="3"/>
        <v>0</v>
      </c>
      <c r="H18" s="5">
        <f t="shared" si="3"/>
        <v>0</v>
      </c>
      <c r="I18" s="5">
        <f t="shared" si="3"/>
        <v>0</v>
      </c>
      <c r="J18" s="5">
        <f t="shared" si="3"/>
        <v>0</v>
      </c>
      <c r="K18" s="5">
        <f t="shared" si="3"/>
        <v>0</v>
      </c>
      <c r="L18" s="5">
        <f t="shared" si="3"/>
        <v>0</v>
      </c>
      <c r="M18" s="5">
        <f t="shared" si="3"/>
        <v>0</v>
      </c>
      <c r="O18" s="7"/>
      <c r="Q18" s="7"/>
      <c r="S18" s="7"/>
      <c r="U18" s="7"/>
      <c r="W18" s="7"/>
      <c r="Y18" s="7"/>
    </row>
    <row r="19" spans="1:25" x14ac:dyDescent="0.3">
      <c r="A19" t="s">
        <v>17</v>
      </c>
      <c r="B19" s="5">
        <f t="shared" ref="B19:M19" si="4" xml:space="preserve"> B7 - B7</f>
        <v>0</v>
      </c>
      <c r="C19" s="5">
        <f t="shared" si="4"/>
        <v>0</v>
      </c>
      <c r="D19" s="5">
        <f t="shared" si="4"/>
        <v>0</v>
      </c>
      <c r="E19" s="5">
        <f t="shared" si="4"/>
        <v>0</v>
      </c>
      <c r="F19" s="5">
        <f t="shared" si="4"/>
        <v>0</v>
      </c>
      <c r="G19" s="5">
        <f t="shared" si="4"/>
        <v>0</v>
      </c>
      <c r="H19" s="5">
        <f t="shared" si="4"/>
        <v>0</v>
      </c>
      <c r="I19" s="5">
        <f t="shared" si="4"/>
        <v>0</v>
      </c>
      <c r="J19" s="5">
        <f t="shared" si="4"/>
        <v>0</v>
      </c>
      <c r="K19" s="5">
        <f t="shared" si="4"/>
        <v>0</v>
      </c>
      <c r="L19" s="5">
        <f t="shared" si="4"/>
        <v>0</v>
      </c>
      <c r="M19" s="5">
        <f t="shared" si="4"/>
        <v>0</v>
      </c>
      <c r="O19" s="7"/>
      <c r="Q19" s="7"/>
      <c r="S19" s="7"/>
      <c r="U19" s="7"/>
      <c r="W19" s="7"/>
      <c r="Y19" s="7"/>
    </row>
    <row r="20" spans="1:25" x14ac:dyDescent="0.3">
      <c r="A20" t="s">
        <v>18</v>
      </c>
      <c r="B20" s="5">
        <f t="shared" ref="B20:M20" si="5" xml:space="preserve"> B8 - B8</f>
        <v>0</v>
      </c>
      <c r="C20" s="5">
        <f t="shared" si="5"/>
        <v>0</v>
      </c>
      <c r="D20" s="5">
        <f t="shared" si="5"/>
        <v>0</v>
      </c>
      <c r="E20" s="5">
        <f t="shared" si="5"/>
        <v>0</v>
      </c>
      <c r="F20" s="5">
        <f t="shared" si="5"/>
        <v>0</v>
      </c>
      <c r="G20" s="5">
        <f t="shared" si="5"/>
        <v>0</v>
      </c>
      <c r="H20" s="5">
        <f t="shared" si="5"/>
        <v>0</v>
      </c>
      <c r="I20" s="5">
        <f t="shared" si="5"/>
        <v>0</v>
      </c>
      <c r="J20" s="5">
        <f t="shared" si="5"/>
        <v>0</v>
      </c>
      <c r="K20" s="5">
        <f t="shared" si="5"/>
        <v>0</v>
      </c>
      <c r="L20" s="5">
        <f t="shared" si="5"/>
        <v>0</v>
      </c>
      <c r="M20" s="5">
        <f t="shared" si="5"/>
        <v>0</v>
      </c>
      <c r="O20" s="7"/>
      <c r="Q20" s="7"/>
      <c r="S20" s="7"/>
      <c r="U20" s="7"/>
      <c r="W20" s="7"/>
      <c r="Y20" s="7"/>
    </row>
    <row r="21" spans="1:25" x14ac:dyDescent="0.3">
      <c r="A21" t="s">
        <v>19</v>
      </c>
      <c r="B21" s="5">
        <f t="shared" ref="B21:M21" si="6" xml:space="preserve"> B9 - B9</f>
        <v>0</v>
      </c>
      <c r="C21" s="5">
        <f t="shared" si="6"/>
        <v>0</v>
      </c>
      <c r="D21" s="5">
        <f t="shared" si="6"/>
        <v>0</v>
      </c>
      <c r="E21" s="5">
        <f t="shared" si="6"/>
        <v>0</v>
      </c>
      <c r="F21" s="5">
        <f t="shared" si="6"/>
        <v>0</v>
      </c>
      <c r="G21" s="5">
        <f t="shared" si="6"/>
        <v>0</v>
      </c>
      <c r="H21" s="5">
        <f t="shared" si="6"/>
        <v>0</v>
      </c>
      <c r="I21" s="5">
        <f t="shared" si="6"/>
        <v>0</v>
      </c>
      <c r="J21" s="5">
        <f t="shared" si="6"/>
        <v>0</v>
      </c>
      <c r="K21" s="5">
        <f t="shared" si="6"/>
        <v>0</v>
      </c>
      <c r="L21" s="5">
        <f t="shared" si="6"/>
        <v>0</v>
      </c>
      <c r="M21" s="5">
        <f t="shared" si="6"/>
        <v>0</v>
      </c>
      <c r="O21" s="7"/>
      <c r="Q21" s="7"/>
      <c r="S21" s="7"/>
      <c r="U21" s="7"/>
      <c r="W21" s="7"/>
      <c r="Y21" s="7"/>
    </row>
    <row r="22" spans="1:25" x14ac:dyDescent="0.3">
      <c r="A22" t="s">
        <v>20</v>
      </c>
      <c r="B22" s="5">
        <f t="shared" ref="B22:M22" si="7" xml:space="preserve"> B10 - B10</f>
        <v>0</v>
      </c>
      <c r="C22" s="5">
        <f t="shared" si="7"/>
        <v>0</v>
      </c>
      <c r="D22" s="5">
        <f t="shared" si="7"/>
        <v>0</v>
      </c>
      <c r="E22" s="5">
        <f t="shared" si="7"/>
        <v>0</v>
      </c>
      <c r="F22" s="5">
        <f t="shared" si="7"/>
        <v>0</v>
      </c>
      <c r="G22" s="5">
        <f t="shared" si="7"/>
        <v>0</v>
      </c>
      <c r="H22" s="5">
        <f t="shared" si="7"/>
        <v>0</v>
      </c>
      <c r="I22" s="5">
        <f t="shared" si="7"/>
        <v>0</v>
      </c>
      <c r="J22" s="5">
        <f t="shared" si="7"/>
        <v>0</v>
      </c>
      <c r="K22" s="5">
        <f t="shared" si="7"/>
        <v>0</v>
      </c>
      <c r="L22" s="5">
        <f t="shared" si="7"/>
        <v>0</v>
      </c>
      <c r="M22" s="5">
        <f t="shared" si="7"/>
        <v>0</v>
      </c>
      <c r="O22" s="7"/>
      <c r="Q22" s="7"/>
      <c r="S22" s="7"/>
      <c r="U22" s="7"/>
      <c r="W22" s="7"/>
      <c r="Y22" s="7"/>
    </row>
    <row r="25" spans="1:25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25" x14ac:dyDescent="0.3">
      <c r="A26" t="s">
        <v>13</v>
      </c>
      <c r="B26" s="3">
        <f>AVERAGE(B15:C15)</f>
        <v>0</v>
      </c>
      <c r="C26" s="3">
        <f>STDEV(B15:C15)</f>
        <v>0</v>
      </c>
      <c r="D26" s="3">
        <f t="shared" ref="D26:L33" si="8">AVERAGE(D15:E15)</f>
        <v>0</v>
      </c>
      <c r="E26" s="3">
        <f>STDEV(D15:E15)</f>
        <v>0</v>
      </c>
      <c r="F26" s="3">
        <f t="shared" si="8"/>
        <v>0</v>
      </c>
      <c r="G26" s="3">
        <f>STDEV(F15:G15)</f>
        <v>0</v>
      </c>
      <c r="H26" s="3">
        <f t="shared" si="8"/>
        <v>0</v>
      </c>
      <c r="I26" s="3">
        <f>STDEV(H15:I15)</f>
        <v>0</v>
      </c>
      <c r="J26" s="3">
        <f t="shared" si="8"/>
        <v>0</v>
      </c>
      <c r="K26" s="3">
        <f>STDEV(J15:K15)</f>
        <v>0</v>
      </c>
      <c r="L26" s="3">
        <f t="shared" ref="L26:M26" si="9">AVERAGE(L15:M15)</f>
        <v>0</v>
      </c>
      <c r="M26" s="3">
        <f>STDEV(L15:M15)</f>
        <v>0</v>
      </c>
    </row>
    <row r="27" spans="1:25" x14ac:dyDescent="0.3">
      <c r="A27" t="s">
        <v>14</v>
      </c>
      <c r="B27" s="3">
        <f t="shared" ref="B27:B33" si="10">AVERAGE(B16:C16)</f>
        <v>0</v>
      </c>
      <c r="C27" s="3">
        <f t="shared" ref="C27:E33" si="11">STDEV(B16:C16)</f>
        <v>0</v>
      </c>
      <c r="D27" s="3">
        <f t="shared" si="8"/>
        <v>0</v>
      </c>
      <c r="E27" s="3">
        <f t="shared" si="11"/>
        <v>0</v>
      </c>
      <c r="F27" s="3">
        <f t="shared" si="8"/>
        <v>0</v>
      </c>
      <c r="G27" s="3">
        <f t="shared" ref="G27:G33" si="12">STDEV(F16:G16)</f>
        <v>0</v>
      </c>
      <c r="H27" s="3">
        <f t="shared" si="8"/>
        <v>0</v>
      </c>
      <c r="I27" s="3">
        <f t="shared" ref="I27:I33" si="13">STDEV(H16:I16)</f>
        <v>0</v>
      </c>
      <c r="J27" s="3">
        <f t="shared" si="8"/>
        <v>0</v>
      </c>
      <c r="K27" s="3">
        <f t="shared" ref="K27:K33" si="14">STDEV(J16:K16)</f>
        <v>0</v>
      </c>
      <c r="L27" s="3">
        <f t="shared" si="8"/>
        <v>0</v>
      </c>
      <c r="M27" s="3">
        <f t="shared" ref="M27:M33" si="15">STDEV(L16:M16)</f>
        <v>0</v>
      </c>
    </row>
    <row r="28" spans="1:25" x14ac:dyDescent="0.3">
      <c r="A28" t="s">
        <v>15</v>
      </c>
      <c r="B28" s="3">
        <f t="shared" si="10"/>
        <v>0</v>
      </c>
      <c r="C28" s="3">
        <f t="shared" si="11"/>
        <v>0</v>
      </c>
      <c r="D28" s="3">
        <f t="shared" si="8"/>
        <v>0</v>
      </c>
      <c r="E28" s="3">
        <f t="shared" si="11"/>
        <v>0</v>
      </c>
      <c r="F28" s="3">
        <f t="shared" si="8"/>
        <v>0</v>
      </c>
      <c r="G28" s="3">
        <f t="shared" si="12"/>
        <v>0</v>
      </c>
      <c r="H28" s="3">
        <f t="shared" si="8"/>
        <v>0</v>
      </c>
      <c r="I28" s="3">
        <f t="shared" si="13"/>
        <v>0</v>
      </c>
      <c r="J28" s="3">
        <f t="shared" si="8"/>
        <v>0</v>
      </c>
      <c r="K28" s="3">
        <f t="shared" si="14"/>
        <v>0</v>
      </c>
      <c r="L28" s="3">
        <f t="shared" si="8"/>
        <v>0</v>
      </c>
      <c r="M28" s="3">
        <f t="shared" si="15"/>
        <v>0</v>
      </c>
    </row>
    <row r="29" spans="1:25" x14ac:dyDescent="0.3">
      <c r="A29" t="s">
        <v>16</v>
      </c>
      <c r="B29" s="3">
        <f t="shared" si="10"/>
        <v>0</v>
      </c>
      <c r="C29" s="3">
        <f t="shared" si="11"/>
        <v>0</v>
      </c>
      <c r="D29" s="3">
        <f t="shared" si="8"/>
        <v>0</v>
      </c>
      <c r="E29" s="3">
        <f t="shared" si="11"/>
        <v>0</v>
      </c>
      <c r="F29" s="3">
        <f t="shared" si="8"/>
        <v>0</v>
      </c>
      <c r="G29" s="3">
        <f t="shared" si="12"/>
        <v>0</v>
      </c>
      <c r="H29" s="3">
        <f t="shared" si="8"/>
        <v>0</v>
      </c>
      <c r="I29" s="3">
        <f t="shared" si="13"/>
        <v>0</v>
      </c>
      <c r="J29" s="3">
        <f t="shared" si="8"/>
        <v>0</v>
      </c>
      <c r="K29" s="3">
        <f t="shared" si="14"/>
        <v>0</v>
      </c>
      <c r="L29" s="3">
        <f t="shared" si="8"/>
        <v>0</v>
      </c>
      <c r="M29" s="3">
        <f t="shared" si="15"/>
        <v>0</v>
      </c>
    </row>
    <row r="30" spans="1:25" x14ac:dyDescent="0.3">
      <c r="A30" t="s">
        <v>17</v>
      </c>
      <c r="B30" s="3">
        <f t="shared" si="10"/>
        <v>0</v>
      </c>
      <c r="C30" s="3">
        <f t="shared" si="11"/>
        <v>0</v>
      </c>
      <c r="D30" s="3">
        <f t="shared" si="8"/>
        <v>0</v>
      </c>
      <c r="E30" s="3">
        <f t="shared" si="11"/>
        <v>0</v>
      </c>
      <c r="F30" s="3">
        <f t="shared" si="8"/>
        <v>0</v>
      </c>
      <c r="G30" s="3">
        <f t="shared" si="12"/>
        <v>0</v>
      </c>
      <c r="H30" s="3">
        <f t="shared" si="8"/>
        <v>0</v>
      </c>
      <c r="I30" s="3">
        <f t="shared" si="13"/>
        <v>0</v>
      </c>
      <c r="J30" s="3">
        <f t="shared" si="8"/>
        <v>0</v>
      </c>
      <c r="K30" s="3">
        <f t="shared" si="14"/>
        <v>0</v>
      </c>
      <c r="L30" s="3">
        <f t="shared" si="8"/>
        <v>0</v>
      </c>
      <c r="M30" s="3">
        <f t="shared" si="15"/>
        <v>0</v>
      </c>
    </row>
    <row r="31" spans="1:25" x14ac:dyDescent="0.3">
      <c r="A31" t="s">
        <v>18</v>
      </c>
      <c r="B31" s="3">
        <f t="shared" si="10"/>
        <v>0</v>
      </c>
      <c r="C31" s="3">
        <f t="shared" si="11"/>
        <v>0</v>
      </c>
      <c r="D31" s="3">
        <f t="shared" si="8"/>
        <v>0</v>
      </c>
      <c r="E31" s="3">
        <f t="shared" si="11"/>
        <v>0</v>
      </c>
      <c r="F31" s="3">
        <f t="shared" si="8"/>
        <v>0</v>
      </c>
      <c r="G31" s="3">
        <f t="shared" si="12"/>
        <v>0</v>
      </c>
      <c r="H31" s="3">
        <f t="shared" si="8"/>
        <v>0</v>
      </c>
      <c r="I31" s="3">
        <f t="shared" si="13"/>
        <v>0</v>
      </c>
      <c r="J31" s="3">
        <f t="shared" si="8"/>
        <v>0</v>
      </c>
      <c r="K31" s="3">
        <f t="shared" si="14"/>
        <v>0</v>
      </c>
      <c r="L31" s="3">
        <f t="shared" si="8"/>
        <v>0</v>
      </c>
      <c r="M31" s="3">
        <f t="shared" si="15"/>
        <v>0</v>
      </c>
    </row>
    <row r="32" spans="1:25" x14ac:dyDescent="0.3">
      <c r="A32" t="s">
        <v>19</v>
      </c>
      <c r="B32" s="3">
        <f t="shared" si="10"/>
        <v>0</v>
      </c>
      <c r="C32" s="3">
        <f t="shared" si="11"/>
        <v>0</v>
      </c>
      <c r="D32" s="3">
        <f t="shared" si="8"/>
        <v>0</v>
      </c>
      <c r="E32" s="3">
        <f t="shared" si="11"/>
        <v>0</v>
      </c>
      <c r="F32" s="3">
        <f t="shared" si="8"/>
        <v>0</v>
      </c>
      <c r="G32" s="3">
        <f t="shared" si="12"/>
        <v>0</v>
      </c>
      <c r="H32" s="3">
        <f t="shared" si="8"/>
        <v>0</v>
      </c>
      <c r="I32" s="3">
        <f t="shared" si="13"/>
        <v>0</v>
      </c>
      <c r="J32" s="3">
        <f t="shared" si="8"/>
        <v>0</v>
      </c>
      <c r="K32" s="3">
        <f t="shared" si="14"/>
        <v>0</v>
      </c>
      <c r="L32" s="3">
        <f t="shared" si="8"/>
        <v>0</v>
      </c>
      <c r="M32" s="3">
        <f t="shared" si="15"/>
        <v>0</v>
      </c>
    </row>
    <row r="33" spans="1:13" x14ac:dyDescent="0.3">
      <c r="A33" t="s">
        <v>20</v>
      </c>
      <c r="B33" s="3">
        <f t="shared" si="10"/>
        <v>0</v>
      </c>
      <c r="C33" s="3">
        <f t="shared" si="11"/>
        <v>0</v>
      </c>
      <c r="D33" s="3">
        <f t="shared" si="8"/>
        <v>0</v>
      </c>
      <c r="E33" s="3">
        <f t="shared" si="11"/>
        <v>0</v>
      </c>
      <c r="F33" s="3">
        <f t="shared" si="8"/>
        <v>0</v>
      </c>
      <c r="G33" s="3">
        <f t="shared" si="12"/>
        <v>0</v>
      </c>
      <c r="H33" s="3">
        <f t="shared" si="8"/>
        <v>0</v>
      </c>
      <c r="I33" s="3">
        <f t="shared" si="13"/>
        <v>0</v>
      </c>
      <c r="J33" s="3">
        <f t="shared" si="8"/>
        <v>0</v>
      </c>
      <c r="K33" s="3">
        <f t="shared" si="14"/>
        <v>0</v>
      </c>
      <c r="L33" s="3">
        <f t="shared" si="8"/>
        <v>0</v>
      </c>
      <c r="M33" s="3">
        <f t="shared" si="15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3"/>
  <sheetViews>
    <sheetView topLeftCell="E1" workbookViewId="0">
      <selection activeCell="O1" sqref="O1:AA1048576"/>
    </sheetView>
  </sheetViews>
  <sheetFormatPr baseColWidth="10" defaultColWidth="8.88671875" defaultRowHeight="14.4" x14ac:dyDescent="0.3"/>
  <cols>
    <col min="15" max="27" width="8.88671875" style="6"/>
  </cols>
  <sheetData>
    <row r="1" spans="1:25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2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25" x14ac:dyDescent="0.3">
      <c r="A3" t="s">
        <v>13</v>
      </c>
      <c r="B3">
        <v>9.9000000000000005E-2</v>
      </c>
      <c r="C3">
        <v>8.5000000000000006E-2</v>
      </c>
      <c r="D3">
        <v>7.3999999999999996E-2</v>
      </c>
      <c r="E3">
        <v>8.5000000000000006E-2</v>
      </c>
      <c r="F3">
        <v>0.14599999999999999</v>
      </c>
      <c r="G3">
        <v>0.115</v>
      </c>
      <c r="H3">
        <v>8.2000000000000003E-2</v>
      </c>
      <c r="I3">
        <v>0.06</v>
      </c>
      <c r="J3">
        <v>0.05</v>
      </c>
      <c r="K3">
        <v>0.05</v>
      </c>
      <c r="L3">
        <v>0.12</v>
      </c>
      <c r="M3">
        <v>9.1999999999999998E-2</v>
      </c>
    </row>
    <row r="4" spans="1:25" x14ac:dyDescent="0.3">
      <c r="A4" t="s">
        <v>14</v>
      </c>
      <c r="B4">
        <v>0.128</v>
      </c>
      <c r="C4">
        <v>0.14000000000000001</v>
      </c>
      <c r="D4">
        <v>7.8E-2</v>
      </c>
      <c r="E4">
        <v>9.0999999999999998E-2</v>
      </c>
      <c r="F4">
        <v>0.14799999999999999</v>
      </c>
      <c r="G4">
        <v>0.129</v>
      </c>
      <c r="H4">
        <v>9.1999999999999998E-2</v>
      </c>
      <c r="I4">
        <v>9.4E-2</v>
      </c>
      <c r="J4">
        <v>6.2E-2</v>
      </c>
      <c r="K4">
        <v>5.1999999999999998E-2</v>
      </c>
      <c r="L4">
        <v>9.2999999999999999E-2</v>
      </c>
      <c r="M4">
        <v>0.111</v>
      </c>
    </row>
    <row r="5" spans="1:25" x14ac:dyDescent="0.3">
      <c r="A5" t="s">
        <v>15</v>
      </c>
      <c r="B5">
        <v>0.14099999999999999</v>
      </c>
      <c r="C5">
        <v>0.14399999999999999</v>
      </c>
      <c r="D5">
        <v>8.2000000000000003E-2</v>
      </c>
      <c r="E5">
        <v>7.9000000000000001E-2</v>
      </c>
      <c r="F5">
        <v>0.10100000000000001</v>
      </c>
      <c r="G5">
        <v>0.113</v>
      </c>
      <c r="H5">
        <v>7.5999999999999998E-2</v>
      </c>
      <c r="I5">
        <v>6.7000000000000004E-2</v>
      </c>
      <c r="J5">
        <v>9.4E-2</v>
      </c>
      <c r="K5">
        <v>0.11799999999999999</v>
      </c>
      <c r="L5">
        <v>0.114</v>
      </c>
      <c r="M5">
        <v>0.107</v>
      </c>
    </row>
    <row r="6" spans="1:25" x14ac:dyDescent="0.3">
      <c r="A6" t="s">
        <v>16</v>
      </c>
      <c r="B6">
        <v>0.17199999999999999</v>
      </c>
      <c r="C6">
        <v>0.185</v>
      </c>
      <c r="D6">
        <v>8.3000000000000004E-2</v>
      </c>
      <c r="E6">
        <v>9.0999999999999998E-2</v>
      </c>
      <c r="F6">
        <v>0.11799999999999999</v>
      </c>
      <c r="G6">
        <v>0.20300000000000001</v>
      </c>
      <c r="H6">
        <v>7.0999999999999994E-2</v>
      </c>
      <c r="I6">
        <v>0.107</v>
      </c>
      <c r="J6">
        <v>8.4000000000000005E-2</v>
      </c>
      <c r="K6">
        <v>8.4000000000000005E-2</v>
      </c>
      <c r="L6">
        <v>0.10100000000000001</v>
      </c>
      <c r="M6">
        <v>9.7000000000000003E-2</v>
      </c>
    </row>
    <row r="7" spans="1:25" x14ac:dyDescent="0.3">
      <c r="A7" t="s">
        <v>17</v>
      </c>
      <c r="B7">
        <v>0.13600000000000001</v>
      </c>
      <c r="C7">
        <v>0.14799999999999999</v>
      </c>
      <c r="D7">
        <v>8.1000000000000003E-2</v>
      </c>
      <c r="E7">
        <v>8.7999999999999995E-2</v>
      </c>
      <c r="F7">
        <v>0.113</v>
      </c>
      <c r="G7">
        <v>0.105</v>
      </c>
      <c r="H7">
        <v>9.4E-2</v>
      </c>
      <c r="I7">
        <v>8.3000000000000004E-2</v>
      </c>
      <c r="J7">
        <v>6.9000000000000006E-2</v>
      </c>
      <c r="K7">
        <v>6.9000000000000006E-2</v>
      </c>
      <c r="L7">
        <v>0.64900000000000002</v>
      </c>
      <c r="M7">
        <v>9.7000000000000003E-2</v>
      </c>
    </row>
    <row r="8" spans="1:25" x14ac:dyDescent="0.3">
      <c r="A8" t="s">
        <v>18</v>
      </c>
      <c r="B8">
        <v>0.121</v>
      </c>
      <c r="C8">
        <v>8.8999999999999996E-2</v>
      </c>
      <c r="D8">
        <v>7.8E-2</v>
      </c>
      <c r="E8">
        <v>7.4999999999999997E-2</v>
      </c>
      <c r="F8">
        <v>9.8000000000000004E-2</v>
      </c>
      <c r="G8">
        <v>7.9000000000000001E-2</v>
      </c>
      <c r="H8">
        <v>7.5999999999999998E-2</v>
      </c>
      <c r="I8">
        <v>5.8999999999999997E-2</v>
      </c>
      <c r="J8">
        <v>0.05</v>
      </c>
      <c r="K8">
        <v>6.2E-2</v>
      </c>
      <c r="L8">
        <v>0.37</v>
      </c>
      <c r="M8">
        <v>9.8000000000000004E-2</v>
      </c>
    </row>
    <row r="9" spans="1:25" x14ac:dyDescent="0.3">
      <c r="A9" t="s">
        <v>19</v>
      </c>
      <c r="B9">
        <v>0.153</v>
      </c>
      <c r="C9">
        <v>0.16300000000000001</v>
      </c>
      <c r="D9">
        <v>0.10100000000000001</v>
      </c>
      <c r="E9">
        <v>0.106</v>
      </c>
      <c r="F9">
        <v>0.11700000000000001</v>
      </c>
      <c r="G9">
        <v>9.9000000000000005E-2</v>
      </c>
      <c r="H9">
        <v>7.0000000000000007E-2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25" x14ac:dyDescent="0.3">
      <c r="A10" t="s">
        <v>20</v>
      </c>
      <c r="B10">
        <v>0.221</v>
      </c>
      <c r="C10">
        <v>0.218</v>
      </c>
      <c r="D10">
        <v>0.105</v>
      </c>
      <c r="E10">
        <v>0.111</v>
      </c>
      <c r="F10">
        <v>0.23100000000000001</v>
      </c>
      <c r="G10">
        <v>0.159</v>
      </c>
      <c r="H10">
        <v>9.7000000000000003E-2</v>
      </c>
      <c r="I10">
        <v>9.1999999999999998E-2</v>
      </c>
      <c r="J10">
        <v>9.6000000000000002E-2</v>
      </c>
      <c r="K10">
        <v>0.125</v>
      </c>
      <c r="L10">
        <v>0.125</v>
      </c>
      <c r="M10">
        <v>9.6000000000000002E-2</v>
      </c>
    </row>
    <row r="14" spans="1:25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25" x14ac:dyDescent="0.3">
      <c r="A15" t="s">
        <v>13</v>
      </c>
      <c r="B15" s="3">
        <f xml:space="preserve"> B3 - '+0.0 seg'!$B$3</f>
        <v>1.0000000000000009E-3</v>
      </c>
      <c r="C15" s="3">
        <f xml:space="preserve"> C3 - '+0.0 seg'!$C$3</f>
        <v>0</v>
      </c>
      <c r="D15" s="3">
        <f xml:space="preserve"> D3 - '+0.0 seg'!$D$3</f>
        <v>1.0000000000000009E-3</v>
      </c>
      <c r="E15" s="3">
        <f xml:space="preserve"> E3 - '+0.0 seg'!$E$3</f>
        <v>-1.9999999999999879E-3</v>
      </c>
      <c r="F15" s="3">
        <f xml:space="preserve"> F3 - '+0.0 seg'!$F$3</f>
        <v>-1.0000000000000009E-3</v>
      </c>
      <c r="G15" s="3">
        <f xml:space="preserve"> G3 - '+0.0 seg'!$G$3</f>
        <v>0</v>
      </c>
      <c r="H15" s="3">
        <f xml:space="preserve"> H3 - '+0.0 seg'!$H$3</f>
        <v>-1.0000000000000009E-3</v>
      </c>
      <c r="I15" s="3">
        <f xml:space="preserve"> I3 - '+0.0 seg'!$I$3</f>
        <v>-1.0000000000000009E-3</v>
      </c>
      <c r="J15" s="3">
        <f xml:space="preserve"> J3 - '+0.0 seg'!$J$3</f>
        <v>-9.9999999999999395E-4</v>
      </c>
      <c r="K15" s="3">
        <f xml:space="preserve"> K3 - '+0.0 seg'!$K$3</f>
        <v>-1.9999999999999948E-3</v>
      </c>
      <c r="L15" s="3">
        <f xml:space="preserve"> L3 - '+0.0 seg'!$L$3</f>
        <v>0</v>
      </c>
      <c r="M15" s="3">
        <f xml:space="preserve"> M3 - '+0.0 seg'!$M$3</f>
        <v>0</v>
      </c>
      <c r="N15" s="2"/>
      <c r="O15" s="7"/>
      <c r="Q15" s="7"/>
      <c r="S15" s="7"/>
      <c r="U15" s="7"/>
      <c r="W15" s="7"/>
      <c r="Y15" s="7"/>
    </row>
    <row r="16" spans="1:25" x14ac:dyDescent="0.3">
      <c r="A16" t="s">
        <v>14</v>
      </c>
      <c r="B16" s="3">
        <f xml:space="preserve"> B4 - '+0.0 seg'!$B$4</f>
        <v>0</v>
      </c>
      <c r="C16" s="3">
        <f xml:space="preserve"> C4 - '+0.0 seg'!$C$4</f>
        <v>0</v>
      </c>
      <c r="D16" s="3">
        <f xml:space="preserve"> D4 - '+0.0 seg'!$D$4</f>
        <v>2.0000000000000018E-3</v>
      </c>
      <c r="E16" s="3">
        <f xml:space="preserve"> E4 - '+0.0 seg'!$E$4</f>
        <v>6.9999999999999923E-3</v>
      </c>
      <c r="F16" s="3">
        <f xml:space="preserve"> F4 - '+0.0 seg'!$F$4</f>
        <v>2.0000000000000018E-3</v>
      </c>
      <c r="G16" s="3">
        <f xml:space="preserve"> G4 - '+0.0 seg'!$G$4</f>
        <v>2.0000000000000018E-3</v>
      </c>
      <c r="H16" s="3">
        <f xml:space="preserve"> H4 - '+0.0 seg'!$H$4</f>
        <v>1.0000000000000009E-3</v>
      </c>
      <c r="I16" s="3">
        <f xml:space="preserve"> I4 - '+0.0 seg'!$I$4</f>
        <v>2.0000000000000018E-3</v>
      </c>
      <c r="J16" s="3">
        <f xml:space="preserve"> J4 - '+0.0 seg'!$J$4</f>
        <v>0</v>
      </c>
      <c r="K16" s="3">
        <f xml:space="preserve"> K4 - '+0.0 seg'!$K$4</f>
        <v>0</v>
      </c>
      <c r="L16" s="3">
        <f xml:space="preserve"> L4 - '+0.0 seg'!$L$4</f>
        <v>-1.0000000000000009E-3</v>
      </c>
      <c r="M16" s="3">
        <f xml:space="preserve"> M4 - '+0.0 seg'!$M$4</f>
        <v>0</v>
      </c>
      <c r="O16" s="7"/>
      <c r="Q16" s="7"/>
      <c r="S16" s="7"/>
      <c r="U16" s="7"/>
      <c r="W16" s="7"/>
      <c r="Y16" s="7"/>
    </row>
    <row r="17" spans="1:25" x14ac:dyDescent="0.3">
      <c r="A17" t="s">
        <v>15</v>
      </c>
      <c r="B17" s="3">
        <f xml:space="preserve"> B5 - '+0.0 seg'!$B$5</f>
        <v>0</v>
      </c>
      <c r="C17" s="3">
        <f xml:space="preserve"> C5 - '+0.0 seg'!$C$5</f>
        <v>2.0000000000000018E-3</v>
      </c>
      <c r="D17" s="3">
        <f xml:space="preserve"> D5 - '+0.0 seg'!$D$5</f>
        <v>2.0000000000000018E-3</v>
      </c>
      <c r="E17" s="3">
        <f xml:space="preserve"> E5 - '+0.0 seg'!$E$5</f>
        <v>-1.0000000000000009E-3</v>
      </c>
      <c r="F17" s="3">
        <f xml:space="preserve"> F5 - '+0.0 seg'!$F$5</f>
        <v>0</v>
      </c>
      <c r="G17" s="3">
        <f xml:space="preserve"> G5 - '+0.0 seg'!$G$5</f>
        <v>-3.0000000000000027E-3</v>
      </c>
      <c r="H17" s="3">
        <f xml:space="preserve"> H5 - '+0.0 seg'!$H$5</f>
        <v>1.0000000000000009E-3</v>
      </c>
      <c r="I17" s="3">
        <f xml:space="preserve"> I5 - '+0.0 seg'!$I$5</f>
        <v>-2.0000000000000018E-3</v>
      </c>
      <c r="J17" s="3">
        <f xml:space="preserve"> J5 - '+0.0 seg'!$J$5</f>
        <v>0</v>
      </c>
      <c r="K17" s="3">
        <f xml:space="preserve"> K5 - '+0.0 seg'!$K$5</f>
        <v>0</v>
      </c>
      <c r="L17" s="3">
        <f xml:space="preserve"> L5 - '+0.0 seg'!$L$5</f>
        <v>0</v>
      </c>
      <c r="M17" s="3">
        <f xml:space="preserve"> M5 - '+0.0 seg'!$M$5</f>
        <v>0</v>
      </c>
      <c r="O17" s="7"/>
      <c r="Q17" s="7"/>
      <c r="S17" s="7"/>
      <c r="U17" s="7"/>
      <c r="W17" s="7"/>
      <c r="Y17" s="7"/>
    </row>
    <row r="18" spans="1:25" x14ac:dyDescent="0.3">
      <c r="A18" t="s">
        <v>16</v>
      </c>
      <c r="B18" s="3">
        <f xml:space="preserve"> B6 - '+0.0 seg'!$B$6</f>
        <v>9.9999999999997313E-4</v>
      </c>
      <c r="C18" s="3">
        <f xml:space="preserve"> C6 - '+0.0 seg'!$C$6</f>
        <v>1.0000000000000009E-3</v>
      </c>
      <c r="D18" s="3">
        <f xml:space="preserve"> D6 - '+0.0 seg'!$D$6</f>
        <v>1.0000000000000009E-3</v>
      </c>
      <c r="E18" s="3">
        <f xml:space="preserve"> E6 - '+0.0 seg'!$E$6</f>
        <v>0</v>
      </c>
      <c r="F18" s="3">
        <f xml:space="preserve"> F6 - '+0.0 seg'!$F$6</f>
        <v>9.9999999999998701E-4</v>
      </c>
      <c r="G18" s="3">
        <f xml:space="preserve"> G6 - '+0.0 seg'!$G$6</f>
        <v>4.0000000000000036E-3</v>
      </c>
      <c r="H18" s="3">
        <f xml:space="preserve"> H6 - '+0.0 seg'!$H$6</f>
        <v>2.9999999999999888E-3</v>
      </c>
      <c r="I18" s="3">
        <f xml:space="preserve"> I6 - '+0.0 seg'!$I$6</f>
        <v>-2.0000000000000018E-3</v>
      </c>
      <c r="J18" s="3">
        <f xml:space="preserve"> J6 - '+0.0 seg'!$J$6</f>
        <v>1.0000000000000009E-3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0</v>
      </c>
      <c r="O18" s="7"/>
      <c r="Q18" s="7"/>
      <c r="S18" s="7"/>
      <c r="U18" s="7"/>
      <c r="W18" s="7"/>
      <c r="Y18" s="7"/>
    </row>
    <row r="19" spans="1:25" x14ac:dyDescent="0.3">
      <c r="A19" t="s">
        <v>17</v>
      </c>
      <c r="B19" s="3">
        <f xml:space="preserve"> B7 - '+0.0 seg'!$B$7</f>
        <v>2.0000000000000018E-3</v>
      </c>
      <c r="C19" s="3">
        <f xml:space="preserve"> C7 - '+0.0 seg'!$C$7</f>
        <v>-3.0000000000000027E-3</v>
      </c>
      <c r="D19" s="3">
        <f xml:space="preserve"> D7 - '+0.0 seg'!$D$7</f>
        <v>1.0000000000000009E-3</v>
      </c>
      <c r="E19" s="3">
        <f xml:space="preserve"> E7 - '+0.0 seg'!$E$7</f>
        <v>0</v>
      </c>
      <c r="F19" s="3">
        <f xml:space="preserve"> F7 - '+0.0 seg'!$F$7</f>
        <v>1.0000000000000009E-3</v>
      </c>
      <c r="G19" s="3">
        <f xml:space="preserve"> G7 - '+0.0 seg'!$G$7</f>
        <v>2.0000000000000018E-3</v>
      </c>
      <c r="H19" s="3">
        <f xml:space="preserve"> H7 - '+0.0 seg'!$H$7</f>
        <v>0</v>
      </c>
      <c r="I19" s="3">
        <f xml:space="preserve"> I7 - '+0.0 seg'!$I$7</f>
        <v>-1.0000000000000009E-3</v>
      </c>
      <c r="J19" s="3">
        <f xml:space="preserve"> J7 - '+0.0 seg'!$J$7</f>
        <v>0</v>
      </c>
      <c r="K19" s="3">
        <f xml:space="preserve"> K7 - '+0.0 seg'!$K$7</f>
        <v>0</v>
      </c>
      <c r="L19" s="3">
        <f xml:space="preserve"> L7 - '+0.0 seg'!$L$7</f>
        <v>6.0000000000000053E-3</v>
      </c>
      <c r="M19" s="3">
        <f xml:space="preserve"> M7 - '+0.0 seg'!$M$7</f>
        <v>0</v>
      </c>
      <c r="O19" s="7"/>
      <c r="Q19" s="7"/>
      <c r="S19" s="7"/>
      <c r="U19" s="7"/>
      <c r="W19" s="7"/>
      <c r="Y19" s="7"/>
    </row>
    <row r="20" spans="1:25" x14ac:dyDescent="0.3">
      <c r="A20" t="s">
        <v>18</v>
      </c>
      <c r="B20" s="3">
        <f xml:space="preserve"> B8 - '+0.0 seg'!$B$8</f>
        <v>4.9999999999999906E-3</v>
      </c>
      <c r="C20" s="3">
        <f xml:space="preserve"> C8 - '+0.0 seg'!$C$8</f>
        <v>-2.0000000000000018E-3</v>
      </c>
      <c r="D20" s="3">
        <f xml:space="preserve"> D8 - '+0.0 seg'!$D$8</f>
        <v>-1.0000000000000009E-3</v>
      </c>
      <c r="E20" s="3">
        <f xml:space="preserve"> E8 - '+0.0 seg'!$E$8</f>
        <v>0</v>
      </c>
      <c r="F20" s="3">
        <f xml:space="preserve"> F8 - '+0.0 seg'!$F$8</f>
        <v>2.0000000000000018E-3</v>
      </c>
      <c r="G20" s="3">
        <f xml:space="preserve"> G8 - '+0.0 seg'!$G$8</f>
        <v>0</v>
      </c>
      <c r="H20" s="3">
        <f xml:space="preserve"> H8 - '+0.0 seg'!$H$8</f>
        <v>0</v>
      </c>
      <c r="I20" s="3">
        <f xml:space="preserve"> I8 - '+0.0 seg'!$I$8</f>
        <v>0</v>
      </c>
      <c r="J20" s="3">
        <f xml:space="preserve"> J8 - '+0.0 seg'!$J$8</f>
        <v>-9.9999999999999395E-4</v>
      </c>
      <c r="K20" s="3">
        <f xml:space="preserve"> K8 - '+0.0 seg'!$K$8</f>
        <v>0</v>
      </c>
      <c r="L20" s="3">
        <f xml:space="preserve"> L8 - '+0.0 seg'!$L$8</f>
        <v>1.0000000000000009E-3</v>
      </c>
      <c r="M20" s="3">
        <f xml:space="preserve"> M8 - '+0.0 seg'!$M$8</f>
        <v>1.0000000000000009E-3</v>
      </c>
      <c r="O20" s="7"/>
      <c r="Q20" s="7"/>
      <c r="S20" s="7"/>
      <c r="U20" s="7"/>
      <c r="W20" s="7"/>
      <c r="Y20" s="7"/>
    </row>
    <row r="21" spans="1:25" x14ac:dyDescent="0.3">
      <c r="A21" t="s">
        <v>19</v>
      </c>
      <c r="B21" s="3">
        <f xml:space="preserve"> B9 - '+0.0 seg'!$B$9</f>
        <v>2.0000000000000018E-3</v>
      </c>
      <c r="C21" s="3">
        <f xml:space="preserve"> C9 - '+0.0 seg'!$C$9</f>
        <v>1.0000000000000009E-3</v>
      </c>
      <c r="D21" s="3">
        <f xml:space="preserve"> D9 - '+0.0 seg'!$D$9</f>
        <v>1.0000000000000009E-3</v>
      </c>
      <c r="E21" s="3">
        <f xml:space="preserve"> E9 - '+0.0 seg'!$E$9</f>
        <v>1.0000000000000009E-3</v>
      </c>
      <c r="F21" s="3">
        <f xml:space="preserve"> F9 - '+0.0 seg'!$F$9</f>
        <v>1.0000000000000009E-3</v>
      </c>
      <c r="G21" s="3">
        <f xml:space="preserve"> G9 - '+0.0 seg'!$G$9</f>
        <v>1.0000000000000009E-3</v>
      </c>
      <c r="H21" s="3">
        <f xml:space="preserve"> H9 - '+0.0 seg'!$H$9</f>
        <v>0</v>
      </c>
      <c r="I21" s="3">
        <f xml:space="preserve"> I9 - '+0.0 seg'!$I$9</f>
        <v>0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  <c r="O21" s="7"/>
      <c r="Q21" s="7"/>
      <c r="S21" s="7"/>
      <c r="U21" s="7"/>
      <c r="W21" s="7"/>
      <c r="Y21" s="7"/>
    </row>
    <row r="22" spans="1:25" x14ac:dyDescent="0.3">
      <c r="A22" t="s">
        <v>20</v>
      </c>
      <c r="B22" s="3">
        <f xml:space="preserve"> B10 - '+0.0 seg'!$B$10</f>
        <v>2.0000000000000018E-3</v>
      </c>
      <c r="C22" s="3">
        <f xml:space="preserve"> C10 - '+0.0 seg'!$C$10</f>
        <v>1.3000000000000012E-2</v>
      </c>
      <c r="D22" s="3">
        <f xml:space="preserve"> D10 - '+0.0 seg'!$D$10</f>
        <v>0</v>
      </c>
      <c r="E22" s="3">
        <f xml:space="preserve"> E10 - '+0.0 seg'!$E$10</f>
        <v>-1.0000000000000009E-3</v>
      </c>
      <c r="F22" s="3">
        <f xml:space="preserve"> F10 - '+0.0 seg'!$F$10</f>
        <v>5.0000000000000044E-3</v>
      </c>
      <c r="G22" s="3">
        <f xml:space="preserve"> G10 - '+0.0 seg'!$G$10</f>
        <v>0</v>
      </c>
      <c r="H22" s="3">
        <f xml:space="preserve"> H10 - '+0.0 seg'!$H$10</f>
        <v>0</v>
      </c>
      <c r="I22" s="3">
        <f xml:space="preserve"> I10 - '+0.0 seg'!$I$10</f>
        <v>0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0</v>
      </c>
      <c r="O22" s="7"/>
      <c r="Q22" s="7"/>
      <c r="S22" s="7"/>
      <c r="U22" s="7"/>
      <c r="W22" s="7"/>
      <c r="Y22" s="7"/>
    </row>
    <row r="25" spans="1:25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25" x14ac:dyDescent="0.3">
      <c r="A26" t="s">
        <v>13</v>
      </c>
      <c r="B26" s="3">
        <f>AVERAGE(B15:C15)</f>
        <v>5.0000000000000044E-4</v>
      </c>
      <c r="C26" s="3">
        <f>STDEV(B15:C15)</f>
        <v>7.0710678118654816E-4</v>
      </c>
      <c r="D26" s="3">
        <f t="shared" ref="D26:L33" si="0">AVERAGE(D15:E15)</f>
        <v>-4.9999999999999351E-4</v>
      </c>
      <c r="E26" s="3">
        <f>STDEV(D15:E15)</f>
        <v>2.1213203435596346E-3</v>
      </c>
      <c r="F26" s="3">
        <f t="shared" si="0"/>
        <v>-5.0000000000000044E-4</v>
      </c>
      <c r="G26" s="3">
        <f>STDEV(F15:G15)</f>
        <v>7.0710678118654816E-4</v>
      </c>
      <c r="H26" s="3">
        <f t="shared" si="0"/>
        <v>-1.0000000000000009E-3</v>
      </c>
      <c r="I26" s="3">
        <f>STDEV(H15:I15)</f>
        <v>0</v>
      </c>
      <c r="J26" s="3">
        <f t="shared" si="0"/>
        <v>-1.4999999999999944E-3</v>
      </c>
      <c r="K26" s="3">
        <f>STDEV(J15:K15)</f>
        <v>7.0710678118654816E-4</v>
      </c>
      <c r="L26" s="3">
        <f t="shared" ref="L26:M26" si="1">AVERAGE(L15:M15)</f>
        <v>0</v>
      </c>
      <c r="M26" s="3">
        <f>STDEV(L15:M15)</f>
        <v>0</v>
      </c>
    </row>
    <row r="27" spans="1:25" x14ac:dyDescent="0.3">
      <c r="A27" t="s">
        <v>14</v>
      </c>
      <c r="B27" s="3">
        <f t="shared" ref="B27:B33" si="2">AVERAGE(B16:C16)</f>
        <v>0</v>
      </c>
      <c r="C27" s="3">
        <f t="shared" ref="C27:E33" si="3">STDEV(B16:C16)</f>
        <v>0</v>
      </c>
      <c r="D27" s="3">
        <f t="shared" si="0"/>
        <v>4.4999999999999971E-3</v>
      </c>
      <c r="E27" s="3">
        <f t="shared" si="3"/>
        <v>3.5355339059327307E-3</v>
      </c>
      <c r="F27" s="3">
        <f t="shared" si="0"/>
        <v>2.0000000000000018E-3</v>
      </c>
      <c r="G27" s="3">
        <f t="shared" ref="G27:G33" si="4">STDEV(F16:G16)</f>
        <v>0</v>
      </c>
      <c r="H27" s="3">
        <f t="shared" si="0"/>
        <v>1.5000000000000013E-3</v>
      </c>
      <c r="I27" s="3">
        <f t="shared" ref="I27:I33" si="5">STDEV(H16:I16)</f>
        <v>7.0710678118654816E-4</v>
      </c>
      <c r="J27" s="3">
        <f t="shared" si="0"/>
        <v>0</v>
      </c>
      <c r="K27" s="3">
        <f t="shared" ref="K27:K33" si="6">STDEV(J16:K16)</f>
        <v>0</v>
      </c>
      <c r="L27" s="3">
        <f t="shared" si="0"/>
        <v>-5.0000000000000044E-4</v>
      </c>
      <c r="M27" s="3">
        <f t="shared" ref="M27:M33" si="7">STDEV(L16:M16)</f>
        <v>7.0710678118654816E-4</v>
      </c>
    </row>
    <row r="28" spans="1:25" x14ac:dyDescent="0.3">
      <c r="A28" t="s">
        <v>15</v>
      </c>
      <c r="B28" s="3">
        <f t="shared" si="2"/>
        <v>1.0000000000000009E-3</v>
      </c>
      <c r="C28" s="3">
        <f t="shared" si="3"/>
        <v>1.4142135623730963E-3</v>
      </c>
      <c r="D28" s="3">
        <f t="shared" si="0"/>
        <v>5.0000000000000044E-4</v>
      </c>
      <c r="E28" s="3">
        <f t="shared" si="3"/>
        <v>2.1213203435596446E-3</v>
      </c>
      <c r="F28" s="3">
        <f t="shared" si="0"/>
        <v>-1.5000000000000013E-3</v>
      </c>
      <c r="G28" s="3">
        <f t="shared" si="4"/>
        <v>2.1213203435596446E-3</v>
      </c>
      <c r="H28" s="3">
        <f t="shared" si="0"/>
        <v>-5.0000000000000044E-4</v>
      </c>
      <c r="I28" s="3">
        <f t="shared" si="5"/>
        <v>2.1213203435596446E-3</v>
      </c>
      <c r="J28" s="3">
        <f t="shared" si="0"/>
        <v>0</v>
      </c>
      <c r="K28" s="3">
        <f t="shared" si="6"/>
        <v>0</v>
      </c>
      <c r="L28" s="3">
        <f t="shared" si="0"/>
        <v>0</v>
      </c>
      <c r="M28" s="3">
        <f t="shared" si="7"/>
        <v>0</v>
      </c>
    </row>
    <row r="29" spans="1:25" x14ac:dyDescent="0.3">
      <c r="A29" t="s">
        <v>16</v>
      </c>
      <c r="B29" s="3">
        <f t="shared" si="2"/>
        <v>9.9999999999998701E-4</v>
      </c>
      <c r="C29" s="3">
        <f t="shared" si="3"/>
        <v>1.962615573354719E-17</v>
      </c>
      <c r="D29" s="3">
        <f t="shared" si="0"/>
        <v>5.0000000000000044E-4</v>
      </c>
      <c r="E29" s="3">
        <f t="shared" si="3"/>
        <v>7.0710678118654816E-4</v>
      </c>
      <c r="F29" s="3">
        <f t="shared" si="0"/>
        <v>2.4999999999999953E-3</v>
      </c>
      <c r="G29" s="3">
        <f t="shared" si="4"/>
        <v>2.1213203435596546E-3</v>
      </c>
      <c r="H29" s="3">
        <f t="shared" si="0"/>
        <v>4.9999999999999351E-4</v>
      </c>
      <c r="I29" s="3">
        <f t="shared" si="5"/>
        <v>3.5355339059327312E-3</v>
      </c>
      <c r="J29" s="3">
        <f t="shared" si="0"/>
        <v>5.0000000000000044E-4</v>
      </c>
      <c r="K29" s="3">
        <f t="shared" si="6"/>
        <v>7.0710678118654816E-4</v>
      </c>
      <c r="L29" s="3">
        <f t="shared" si="0"/>
        <v>0</v>
      </c>
      <c r="M29" s="3">
        <f t="shared" si="7"/>
        <v>0</v>
      </c>
    </row>
    <row r="30" spans="1:25" x14ac:dyDescent="0.3">
      <c r="A30" t="s">
        <v>17</v>
      </c>
      <c r="B30" s="3">
        <f t="shared" si="2"/>
        <v>-5.0000000000000044E-4</v>
      </c>
      <c r="C30" s="3">
        <f t="shared" si="3"/>
        <v>3.5355339059327407E-3</v>
      </c>
      <c r="D30" s="3">
        <f t="shared" si="0"/>
        <v>5.0000000000000044E-4</v>
      </c>
      <c r="E30" s="3">
        <f t="shared" si="3"/>
        <v>7.0710678118654816E-4</v>
      </c>
      <c r="F30" s="3">
        <f t="shared" si="0"/>
        <v>1.5000000000000013E-3</v>
      </c>
      <c r="G30" s="3">
        <f t="shared" si="4"/>
        <v>7.0710678118654816E-4</v>
      </c>
      <c r="H30" s="3">
        <f t="shared" si="0"/>
        <v>-5.0000000000000044E-4</v>
      </c>
      <c r="I30" s="3">
        <f t="shared" si="5"/>
        <v>7.0710678118654816E-4</v>
      </c>
      <c r="J30" s="3">
        <f t="shared" si="0"/>
        <v>0</v>
      </c>
      <c r="K30" s="3">
        <f t="shared" si="6"/>
        <v>0</v>
      </c>
      <c r="L30" s="3">
        <f t="shared" si="0"/>
        <v>3.0000000000000027E-3</v>
      </c>
      <c r="M30" s="3">
        <f t="shared" si="7"/>
        <v>4.2426406871192892E-3</v>
      </c>
    </row>
    <row r="31" spans="1:25" x14ac:dyDescent="0.3">
      <c r="A31" t="s">
        <v>18</v>
      </c>
      <c r="B31" s="3">
        <f t="shared" si="2"/>
        <v>1.4999999999999944E-3</v>
      </c>
      <c r="C31" s="3">
        <f t="shared" si="3"/>
        <v>4.9497474683058273E-3</v>
      </c>
      <c r="D31" s="3">
        <f t="shared" si="0"/>
        <v>-5.0000000000000044E-4</v>
      </c>
      <c r="E31" s="3">
        <f t="shared" si="3"/>
        <v>7.0710678118654816E-4</v>
      </c>
      <c r="F31" s="3">
        <f t="shared" si="0"/>
        <v>1.0000000000000009E-3</v>
      </c>
      <c r="G31" s="3">
        <f t="shared" si="4"/>
        <v>1.4142135623730963E-3</v>
      </c>
      <c r="H31" s="3">
        <f t="shared" si="0"/>
        <v>0</v>
      </c>
      <c r="I31" s="3">
        <f t="shared" si="5"/>
        <v>0</v>
      </c>
      <c r="J31" s="3">
        <f t="shared" si="0"/>
        <v>-4.9999999999999697E-4</v>
      </c>
      <c r="K31" s="3">
        <f t="shared" si="6"/>
        <v>7.0710678118654328E-4</v>
      </c>
      <c r="L31" s="3">
        <f t="shared" si="0"/>
        <v>1.0000000000000009E-3</v>
      </c>
      <c r="M31" s="3">
        <f t="shared" si="7"/>
        <v>0</v>
      </c>
    </row>
    <row r="32" spans="1:25" x14ac:dyDescent="0.3">
      <c r="A32" t="s">
        <v>19</v>
      </c>
      <c r="B32" s="3">
        <f t="shared" si="2"/>
        <v>1.5000000000000013E-3</v>
      </c>
      <c r="C32" s="3">
        <f t="shared" si="3"/>
        <v>7.0710678118654816E-4</v>
      </c>
      <c r="D32" s="3">
        <f t="shared" si="0"/>
        <v>1.0000000000000009E-3</v>
      </c>
      <c r="E32" s="3">
        <f t="shared" si="3"/>
        <v>0</v>
      </c>
      <c r="F32" s="3">
        <f t="shared" si="0"/>
        <v>1.0000000000000009E-3</v>
      </c>
      <c r="G32" s="3">
        <f t="shared" si="4"/>
        <v>0</v>
      </c>
      <c r="H32" s="3">
        <f t="shared" si="0"/>
        <v>0</v>
      </c>
      <c r="I32" s="3">
        <f t="shared" si="5"/>
        <v>0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0</v>
      </c>
      <c r="M32" s="3">
        <f t="shared" si="7"/>
        <v>0</v>
      </c>
    </row>
    <row r="33" spans="1:13" x14ac:dyDescent="0.3">
      <c r="A33" t="s">
        <v>20</v>
      </c>
      <c r="B33" s="3">
        <f t="shared" si="2"/>
        <v>7.5000000000000067E-3</v>
      </c>
      <c r="C33" s="3">
        <f t="shared" si="3"/>
        <v>7.7781745930520308E-3</v>
      </c>
      <c r="D33" s="3">
        <f t="shared" si="0"/>
        <v>-5.0000000000000044E-4</v>
      </c>
      <c r="E33" s="3">
        <f t="shared" si="3"/>
        <v>7.0710678118654816E-4</v>
      </c>
      <c r="F33" s="3">
        <f t="shared" si="0"/>
        <v>2.5000000000000022E-3</v>
      </c>
      <c r="G33" s="3">
        <f t="shared" si="4"/>
        <v>3.5355339059327407E-3</v>
      </c>
      <c r="H33" s="3">
        <f t="shared" si="0"/>
        <v>0</v>
      </c>
      <c r="I33" s="3">
        <f t="shared" si="5"/>
        <v>0</v>
      </c>
      <c r="J33" s="3">
        <f t="shared" si="0"/>
        <v>0</v>
      </c>
      <c r="K33" s="3">
        <f t="shared" si="6"/>
        <v>0</v>
      </c>
      <c r="L33" s="3">
        <f t="shared" si="0"/>
        <v>0</v>
      </c>
      <c r="M33" s="3">
        <f t="shared" si="7"/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3"/>
  <sheetViews>
    <sheetView topLeftCell="E1" workbookViewId="0">
      <selection activeCell="O1" sqref="O1:Z1048576"/>
    </sheetView>
  </sheetViews>
  <sheetFormatPr baseColWidth="10" defaultColWidth="8.88671875" defaultRowHeight="14.4" x14ac:dyDescent="0.3"/>
  <cols>
    <col min="15" max="26" width="8.88671875" style="6"/>
  </cols>
  <sheetData>
    <row r="1" spans="1:25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2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25" x14ac:dyDescent="0.3">
      <c r="A3" t="s">
        <v>13</v>
      </c>
      <c r="B3">
        <v>9.9000000000000005E-2</v>
      </c>
      <c r="C3">
        <v>8.5000000000000006E-2</v>
      </c>
      <c r="D3">
        <v>7.4999999999999997E-2</v>
      </c>
      <c r="E3">
        <v>0.09</v>
      </c>
      <c r="F3">
        <v>0.14199999999999999</v>
      </c>
      <c r="G3">
        <v>0.11600000000000001</v>
      </c>
      <c r="H3">
        <v>8.2000000000000003E-2</v>
      </c>
      <c r="I3">
        <v>6.0999999999999999E-2</v>
      </c>
      <c r="J3">
        <v>0.05</v>
      </c>
      <c r="K3">
        <v>4.8000000000000001E-2</v>
      </c>
      <c r="L3">
        <v>0.12</v>
      </c>
      <c r="M3">
        <v>9.1999999999999998E-2</v>
      </c>
    </row>
    <row r="4" spans="1:25" x14ac:dyDescent="0.3">
      <c r="A4" t="s">
        <v>14</v>
      </c>
      <c r="B4">
        <v>0.128</v>
      </c>
      <c r="C4">
        <v>0.14000000000000001</v>
      </c>
      <c r="D4">
        <v>7.9000000000000001E-2</v>
      </c>
      <c r="E4">
        <v>9.1999999999999998E-2</v>
      </c>
      <c r="F4">
        <v>0.14799999999999999</v>
      </c>
      <c r="G4">
        <v>0.128</v>
      </c>
      <c r="H4">
        <v>9.4E-2</v>
      </c>
      <c r="I4">
        <v>9.5000000000000001E-2</v>
      </c>
      <c r="J4">
        <v>6.2E-2</v>
      </c>
      <c r="K4">
        <v>5.1999999999999998E-2</v>
      </c>
      <c r="L4">
        <v>9.2999999999999999E-2</v>
      </c>
      <c r="M4">
        <v>0.111</v>
      </c>
    </row>
    <row r="5" spans="1:25" x14ac:dyDescent="0.3">
      <c r="A5" t="s">
        <v>15</v>
      </c>
      <c r="B5">
        <v>0.14099999999999999</v>
      </c>
      <c r="C5">
        <v>0.14399999999999999</v>
      </c>
      <c r="D5">
        <v>8.2000000000000003E-2</v>
      </c>
      <c r="E5">
        <v>0.08</v>
      </c>
      <c r="F5">
        <v>0.10100000000000001</v>
      </c>
      <c r="G5">
        <v>0.112</v>
      </c>
      <c r="H5">
        <v>7.6999999999999999E-2</v>
      </c>
      <c r="I5">
        <v>6.6000000000000003E-2</v>
      </c>
      <c r="J5">
        <v>9.4E-2</v>
      </c>
      <c r="K5">
        <v>0.11799999999999999</v>
      </c>
      <c r="L5">
        <v>0.114</v>
      </c>
      <c r="M5">
        <v>0.107</v>
      </c>
    </row>
    <row r="6" spans="1:25" x14ac:dyDescent="0.3">
      <c r="A6" t="s">
        <v>16</v>
      </c>
      <c r="B6">
        <v>0.17299999999999999</v>
      </c>
      <c r="C6">
        <v>0.185</v>
      </c>
      <c r="D6">
        <v>8.3000000000000004E-2</v>
      </c>
      <c r="E6">
        <v>9.0999999999999998E-2</v>
      </c>
      <c r="F6">
        <v>0.11799999999999999</v>
      </c>
      <c r="G6">
        <v>0.20399999999999999</v>
      </c>
      <c r="H6">
        <v>7.0000000000000007E-2</v>
      </c>
      <c r="I6">
        <v>0.108</v>
      </c>
      <c r="J6">
        <v>8.3000000000000004E-2</v>
      </c>
      <c r="K6">
        <v>8.4000000000000005E-2</v>
      </c>
      <c r="L6">
        <v>0.10100000000000001</v>
      </c>
      <c r="M6">
        <v>9.7000000000000003E-2</v>
      </c>
    </row>
    <row r="7" spans="1:25" x14ac:dyDescent="0.3">
      <c r="A7" t="s">
        <v>17</v>
      </c>
      <c r="B7">
        <v>0.13600000000000001</v>
      </c>
      <c r="C7">
        <v>0.14899999999999999</v>
      </c>
      <c r="D7">
        <v>8.1000000000000003E-2</v>
      </c>
      <c r="E7">
        <v>8.8999999999999996E-2</v>
      </c>
      <c r="F7">
        <v>0.114</v>
      </c>
      <c r="G7">
        <v>0.106</v>
      </c>
      <c r="H7">
        <v>9.7000000000000003E-2</v>
      </c>
      <c r="I7">
        <v>8.2000000000000003E-2</v>
      </c>
      <c r="J7">
        <v>6.9000000000000006E-2</v>
      </c>
      <c r="K7">
        <v>6.9000000000000006E-2</v>
      </c>
      <c r="L7">
        <v>0.64900000000000002</v>
      </c>
      <c r="M7">
        <v>9.7000000000000003E-2</v>
      </c>
    </row>
    <row r="8" spans="1:25" x14ac:dyDescent="0.3">
      <c r="A8" t="s">
        <v>18</v>
      </c>
      <c r="B8">
        <v>0.123</v>
      </c>
      <c r="C8">
        <v>9.0999999999999998E-2</v>
      </c>
      <c r="D8">
        <v>7.8E-2</v>
      </c>
      <c r="E8">
        <v>7.4999999999999997E-2</v>
      </c>
      <c r="F8">
        <v>9.8000000000000004E-2</v>
      </c>
      <c r="G8">
        <v>0.08</v>
      </c>
      <c r="H8">
        <v>7.8E-2</v>
      </c>
      <c r="I8">
        <v>5.8000000000000003E-2</v>
      </c>
      <c r="J8">
        <v>0.05</v>
      </c>
      <c r="K8">
        <v>6.0999999999999999E-2</v>
      </c>
      <c r="L8">
        <v>0.37</v>
      </c>
      <c r="M8">
        <v>9.8000000000000004E-2</v>
      </c>
    </row>
    <row r="9" spans="1:25" x14ac:dyDescent="0.3">
      <c r="A9" t="s">
        <v>19</v>
      </c>
      <c r="B9">
        <v>0.152</v>
      </c>
      <c r="C9">
        <v>0.16400000000000001</v>
      </c>
      <c r="D9">
        <v>0.10100000000000001</v>
      </c>
      <c r="E9">
        <v>0.106</v>
      </c>
      <c r="F9">
        <v>0.11700000000000001</v>
      </c>
      <c r="G9">
        <v>0.10100000000000001</v>
      </c>
      <c r="H9">
        <v>7.0000000000000007E-2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25" x14ac:dyDescent="0.3">
      <c r="A10" t="s">
        <v>20</v>
      </c>
      <c r="B10">
        <v>0.21</v>
      </c>
      <c r="C10">
        <v>0.22600000000000001</v>
      </c>
      <c r="D10">
        <v>0.105</v>
      </c>
      <c r="E10">
        <v>0.111</v>
      </c>
      <c r="F10">
        <v>0.23400000000000001</v>
      </c>
      <c r="G10">
        <v>0.16</v>
      </c>
      <c r="H10">
        <v>9.7000000000000003E-2</v>
      </c>
      <c r="I10">
        <v>9.1999999999999998E-2</v>
      </c>
      <c r="J10">
        <v>9.6000000000000002E-2</v>
      </c>
      <c r="K10">
        <v>0.125</v>
      </c>
      <c r="L10">
        <v>0.125</v>
      </c>
      <c r="M10">
        <v>9.6000000000000002E-2</v>
      </c>
    </row>
    <row r="14" spans="1:25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25" x14ac:dyDescent="0.3">
      <c r="A15" t="s">
        <v>13</v>
      </c>
      <c r="B15" s="3">
        <f xml:space="preserve"> B3 - '+0.0 seg'!$B$3</f>
        <v>1.0000000000000009E-3</v>
      </c>
      <c r="C15" s="3">
        <f xml:space="preserve"> C3 - '+0.0 seg'!$C$3</f>
        <v>0</v>
      </c>
      <c r="D15" s="3">
        <f xml:space="preserve"> D3 - '+0.0 seg'!$D$3</f>
        <v>2.0000000000000018E-3</v>
      </c>
      <c r="E15" s="3">
        <f xml:space="preserve"> E3 - '+0.0 seg'!$E$3</f>
        <v>3.0000000000000027E-3</v>
      </c>
      <c r="F15" s="3">
        <f xml:space="preserve"> F3 - '+0.0 seg'!$F$3</f>
        <v>-5.0000000000000044E-3</v>
      </c>
      <c r="G15" s="3">
        <f xml:space="preserve"> G3 - '+0.0 seg'!$G$3</f>
        <v>1.0000000000000009E-3</v>
      </c>
      <c r="H15" s="3">
        <f xml:space="preserve"> H3 - '+0.0 seg'!$H$3</f>
        <v>-1.0000000000000009E-3</v>
      </c>
      <c r="I15" s="3">
        <f xml:space="preserve"> I3 - '+0.0 seg'!$I$3</f>
        <v>0</v>
      </c>
      <c r="J15" s="3">
        <f xml:space="preserve"> J3 - '+0.0 seg'!$J$3</f>
        <v>-9.9999999999999395E-4</v>
      </c>
      <c r="K15" s="3">
        <f xml:space="preserve"> K3 - '+0.0 seg'!$K$3</f>
        <v>-3.9999999999999966E-3</v>
      </c>
      <c r="L15" s="3">
        <f xml:space="preserve"> L3 - '+0.0 seg'!$L$3</f>
        <v>0</v>
      </c>
      <c r="M15" s="3">
        <f xml:space="preserve"> M3 - '+0.0 seg'!$M$3</f>
        <v>0</v>
      </c>
      <c r="O15" s="7"/>
      <c r="Q15" s="7"/>
      <c r="S15" s="7"/>
      <c r="U15" s="7"/>
      <c r="W15" s="7"/>
      <c r="Y15" s="7"/>
    </row>
    <row r="16" spans="1:25" x14ac:dyDescent="0.3">
      <c r="A16" t="s">
        <v>14</v>
      </c>
      <c r="B16" s="3">
        <f xml:space="preserve"> B4 - '+0.0 seg'!$B$4</f>
        <v>0</v>
      </c>
      <c r="C16" s="3">
        <f xml:space="preserve"> C4 - '+0.0 seg'!$C$4</f>
        <v>0</v>
      </c>
      <c r="D16" s="3">
        <f xml:space="preserve"> D4 - '+0.0 seg'!$D$4</f>
        <v>3.0000000000000027E-3</v>
      </c>
      <c r="E16" s="3">
        <f xml:space="preserve"> E4 - '+0.0 seg'!$E$4</f>
        <v>7.9999999999999932E-3</v>
      </c>
      <c r="F16" s="3">
        <f xml:space="preserve"> F4 - '+0.0 seg'!$F$4</f>
        <v>2.0000000000000018E-3</v>
      </c>
      <c r="G16" s="3">
        <f xml:space="preserve"> G4 - '+0.0 seg'!$G$4</f>
        <v>1.0000000000000009E-3</v>
      </c>
      <c r="H16" s="3">
        <f xml:space="preserve"> H4 - '+0.0 seg'!$H$4</f>
        <v>3.0000000000000027E-3</v>
      </c>
      <c r="I16" s="3">
        <f xml:space="preserve"> I4 - '+0.0 seg'!$I$4</f>
        <v>3.0000000000000027E-3</v>
      </c>
      <c r="J16" s="3">
        <f xml:space="preserve"> J4 - '+0.0 seg'!$J$4</f>
        <v>0</v>
      </c>
      <c r="K16" s="3">
        <f xml:space="preserve"> K4 - '+0.0 seg'!$K$4</f>
        <v>0</v>
      </c>
      <c r="L16" s="3">
        <f xml:space="preserve"> L4 - '+0.0 seg'!$L$4</f>
        <v>-1.0000000000000009E-3</v>
      </c>
      <c r="M16" s="3">
        <f xml:space="preserve"> M4 - '+0.0 seg'!$M$4</f>
        <v>0</v>
      </c>
      <c r="O16" s="7"/>
      <c r="Q16" s="7"/>
      <c r="S16" s="7"/>
      <c r="U16" s="7"/>
      <c r="W16" s="7"/>
      <c r="Y16" s="7"/>
    </row>
    <row r="17" spans="1:25" x14ac:dyDescent="0.3">
      <c r="A17" t="s">
        <v>15</v>
      </c>
      <c r="B17" s="3">
        <f xml:space="preserve"> B5 - '+0.0 seg'!$B$5</f>
        <v>0</v>
      </c>
      <c r="C17" s="3">
        <f xml:space="preserve"> C5 - '+0.0 seg'!$C$5</f>
        <v>2.0000000000000018E-3</v>
      </c>
      <c r="D17" s="3">
        <f xml:space="preserve"> D5 - '+0.0 seg'!$D$5</f>
        <v>2.0000000000000018E-3</v>
      </c>
      <c r="E17" s="3">
        <f xml:space="preserve"> E5 - '+0.0 seg'!$E$5</f>
        <v>0</v>
      </c>
      <c r="F17" s="3">
        <f xml:space="preserve"> F5 - '+0.0 seg'!$F$5</f>
        <v>0</v>
      </c>
      <c r="G17" s="3">
        <f xml:space="preserve"> G5 - '+0.0 seg'!$G$5</f>
        <v>-4.0000000000000036E-3</v>
      </c>
      <c r="H17" s="3">
        <f xml:space="preserve"> H5 - '+0.0 seg'!$H$5</f>
        <v>2.0000000000000018E-3</v>
      </c>
      <c r="I17" s="3">
        <f xml:space="preserve"> I5 - '+0.0 seg'!$I$5</f>
        <v>-3.0000000000000027E-3</v>
      </c>
      <c r="J17" s="3">
        <f xml:space="preserve"> J5 - '+0.0 seg'!$J$5</f>
        <v>0</v>
      </c>
      <c r="K17" s="3">
        <f xml:space="preserve"> K5 - '+0.0 seg'!$K$5</f>
        <v>0</v>
      </c>
      <c r="L17" s="3">
        <f xml:space="preserve"> L5 - '+0.0 seg'!$L$5</f>
        <v>0</v>
      </c>
      <c r="M17" s="3">
        <f xml:space="preserve"> M5 - '+0.0 seg'!$M$5</f>
        <v>0</v>
      </c>
      <c r="O17" s="7"/>
      <c r="Q17" s="7"/>
      <c r="S17" s="7"/>
      <c r="U17" s="7"/>
      <c r="W17" s="7"/>
      <c r="Y17" s="7"/>
    </row>
    <row r="18" spans="1:25" x14ac:dyDescent="0.3">
      <c r="A18" t="s">
        <v>16</v>
      </c>
      <c r="B18" s="3">
        <f xml:space="preserve"> B6 - '+0.0 seg'!$B$6</f>
        <v>1.999999999999974E-3</v>
      </c>
      <c r="C18" s="3">
        <f xml:space="preserve"> C6 - '+0.0 seg'!$C$6</f>
        <v>1.0000000000000009E-3</v>
      </c>
      <c r="D18" s="3">
        <f xml:space="preserve"> D6 - '+0.0 seg'!$D$6</f>
        <v>1.0000000000000009E-3</v>
      </c>
      <c r="E18" s="3">
        <f xml:space="preserve"> E6 - '+0.0 seg'!$E$6</f>
        <v>0</v>
      </c>
      <c r="F18" s="3">
        <f xml:space="preserve"> F6 - '+0.0 seg'!$F$6</f>
        <v>9.9999999999998701E-4</v>
      </c>
      <c r="G18" s="3">
        <f xml:space="preserve"> G6 - '+0.0 seg'!$G$6</f>
        <v>4.9999999999999767E-3</v>
      </c>
      <c r="H18" s="3">
        <f xml:space="preserve"> H6 - '+0.0 seg'!$H$6</f>
        <v>2.0000000000000018E-3</v>
      </c>
      <c r="I18" s="3">
        <f xml:space="preserve"> I6 - '+0.0 seg'!$I$6</f>
        <v>-1.0000000000000009E-3</v>
      </c>
      <c r="J18" s="3">
        <f xml:space="preserve"> J6 - '+0.0 seg'!$J$6</f>
        <v>0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0</v>
      </c>
      <c r="O18" s="7"/>
      <c r="Q18" s="7"/>
      <c r="S18" s="7"/>
      <c r="U18" s="7"/>
      <c r="W18" s="7"/>
      <c r="Y18" s="7"/>
    </row>
    <row r="19" spans="1:25" x14ac:dyDescent="0.3">
      <c r="A19" t="s">
        <v>17</v>
      </c>
      <c r="B19" s="3">
        <f xml:space="preserve"> B7 - '+0.0 seg'!$B$7</f>
        <v>2.0000000000000018E-3</v>
      </c>
      <c r="C19" s="3">
        <f xml:space="preserve"> C7 - '+0.0 seg'!$C$7</f>
        <v>-2.0000000000000018E-3</v>
      </c>
      <c r="D19" s="3">
        <f xml:space="preserve"> D7 - '+0.0 seg'!$D$7</f>
        <v>1.0000000000000009E-3</v>
      </c>
      <c r="E19" s="3">
        <f xml:space="preserve"> E7 - '+0.0 seg'!$E$7</f>
        <v>1.0000000000000009E-3</v>
      </c>
      <c r="F19" s="3">
        <f xml:space="preserve"> F7 - '+0.0 seg'!$F$7</f>
        <v>2.0000000000000018E-3</v>
      </c>
      <c r="G19" s="3">
        <f xml:space="preserve"> G7 - '+0.0 seg'!$G$7</f>
        <v>3.0000000000000027E-3</v>
      </c>
      <c r="H19" s="3">
        <f xml:space="preserve"> H7 - '+0.0 seg'!$H$7</f>
        <v>3.0000000000000027E-3</v>
      </c>
      <c r="I19" s="3">
        <f xml:space="preserve"> I7 - '+0.0 seg'!$I$7</f>
        <v>-2.0000000000000018E-3</v>
      </c>
      <c r="J19" s="3">
        <f xml:space="preserve"> J7 - '+0.0 seg'!$J$7</f>
        <v>0</v>
      </c>
      <c r="K19" s="3">
        <f xml:space="preserve"> K7 - '+0.0 seg'!$K$7</f>
        <v>0</v>
      </c>
      <c r="L19" s="3">
        <f xml:space="preserve"> L7 - '+0.0 seg'!$L$7</f>
        <v>6.0000000000000053E-3</v>
      </c>
      <c r="M19" s="3">
        <f xml:space="preserve"> M7 - '+0.0 seg'!$M$7</f>
        <v>0</v>
      </c>
      <c r="O19" s="7"/>
      <c r="Q19" s="7"/>
      <c r="S19" s="7"/>
      <c r="U19" s="7"/>
      <c r="W19" s="7"/>
      <c r="Y19" s="7"/>
    </row>
    <row r="20" spans="1:25" x14ac:dyDescent="0.3">
      <c r="A20" t="s">
        <v>18</v>
      </c>
      <c r="B20" s="3">
        <f xml:space="preserve"> B8 - '+0.0 seg'!$B$8</f>
        <v>6.9999999999999923E-3</v>
      </c>
      <c r="C20" s="3">
        <f xml:space="preserve"> C8 - '+0.0 seg'!$C$8</f>
        <v>0</v>
      </c>
      <c r="D20" s="3">
        <f xml:space="preserve"> D8 - '+0.0 seg'!$D$8</f>
        <v>-1.0000000000000009E-3</v>
      </c>
      <c r="E20" s="3">
        <f xml:space="preserve"> E8 - '+0.0 seg'!$E$8</f>
        <v>0</v>
      </c>
      <c r="F20" s="3">
        <f xml:space="preserve"> F8 - '+0.0 seg'!$F$8</f>
        <v>2.0000000000000018E-3</v>
      </c>
      <c r="G20" s="3">
        <f xml:space="preserve"> G8 - '+0.0 seg'!$G$8</f>
        <v>1.0000000000000009E-3</v>
      </c>
      <c r="H20" s="3">
        <f xml:space="preserve"> H8 - '+0.0 seg'!$H$8</f>
        <v>2.0000000000000018E-3</v>
      </c>
      <c r="I20" s="3">
        <f xml:space="preserve"> I8 - '+0.0 seg'!$I$8</f>
        <v>-9.9999999999999395E-4</v>
      </c>
      <c r="J20" s="3">
        <f xml:space="preserve"> J8 - '+0.0 seg'!$J$8</f>
        <v>-9.9999999999999395E-4</v>
      </c>
      <c r="K20" s="3">
        <f xml:space="preserve"> K8 - '+0.0 seg'!$K$8</f>
        <v>-1.0000000000000009E-3</v>
      </c>
      <c r="L20" s="3">
        <f xml:space="preserve"> L8 - '+0.0 seg'!$L$8</f>
        <v>1.0000000000000009E-3</v>
      </c>
      <c r="M20" s="3">
        <f xml:space="preserve"> M8 - '+0.0 seg'!$M$8</f>
        <v>1.0000000000000009E-3</v>
      </c>
      <c r="O20" s="7"/>
      <c r="Q20" s="7"/>
      <c r="S20" s="7"/>
      <c r="U20" s="7"/>
      <c r="W20" s="7"/>
      <c r="Y20" s="7"/>
    </row>
    <row r="21" spans="1:25" x14ac:dyDescent="0.3">
      <c r="A21" t="s">
        <v>19</v>
      </c>
      <c r="B21" s="3">
        <f xml:space="preserve"> B9 - '+0.0 seg'!$B$9</f>
        <v>1.0000000000000009E-3</v>
      </c>
      <c r="C21" s="3">
        <f xml:space="preserve"> C9 - '+0.0 seg'!$C$9</f>
        <v>2.0000000000000018E-3</v>
      </c>
      <c r="D21" s="3">
        <f xml:space="preserve"> D9 - '+0.0 seg'!$D$9</f>
        <v>1.0000000000000009E-3</v>
      </c>
      <c r="E21" s="3">
        <f xml:space="preserve"> E9 - '+0.0 seg'!$E$9</f>
        <v>1.0000000000000009E-3</v>
      </c>
      <c r="F21" s="3">
        <f xml:space="preserve"> F9 - '+0.0 seg'!$F$9</f>
        <v>1.0000000000000009E-3</v>
      </c>
      <c r="G21" s="3">
        <f xml:space="preserve"> G9 - '+0.0 seg'!$G$9</f>
        <v>3.0000000000000027E-3</v>
      </c>
      <c r="H21" s="3">
        <f xml:space="preserve"> H9 - '+0.0 seg'!$H$9</f>
        <v>0</v>
      </c>
      <c r="I21" s="3">
        <f xml:space="preserve"> I9 - '+0.0 seg'!$I$9</f>
        <v>0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  <c r="O21" s="7"/>
      <c r="Q21" s="7"/>
      <c r="S21" s="7"/>
      <c r="U21" s="7"/>
      <c r="W21" s="7"/>
      <c r="Y21" s="7"/>
    </row>
    <row r="22" spans="1:25" x14ac:dyDescent="0.3">
      <c r="A22" t="s">
        <v>20</v>
      </c>
      <c r="B22" s="3">
        <f xml:space="preserve"> B10 - '+0.0 seg'!$B$10</f>
        <v>-9.000000000000008E-3</v>
      </c>
      <c r="C22" s="3">
        <f xml:space="preserve"> C10 - '+0.0 seg'!$C$10</f>
        <v>2.1000000000000019E-2</v>
      </c>
      <c r="D22" s="3">
        <f xml:space="preserve"> D10 - '+0.0 seg'!$D$10</f>
        <v>0</v>
      </c>
      <c r="E22" s="3">
        <f xml:space="preserve"> E10 - '+0.0 seg'!$E$10</f>
        <v>-1.0000000000000009E-3</v>
      </c>
      <c r="F22" s="3">
        <f xml:space="preserve"> F10 - '+0.0 seg'!$F$10</f>
        <v>8.0000000000000071E-3</v>
      </c>
      <c r="G22" s="3">
        <f xml:space="preserve"> G10 - '+0.0 seg'!$G$10</f>
        <v>1.0000000000000009E-3</v>
      </c>
      <c r="H22" s="3">
        <f xml:space="preserve"> H10 - '+0.0 seg'!$H$10</f>
        <v>0</v>
      </c>
      <c r="I22" s="3">
        <f xml:space="preserve"> I10 - '+0.0 seg'!$I$10</f>
        <v>0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0</v>
      </c>
      <c r="O22" s="7"/>
      <c r="Q22" s="7"/>
      <c r="S22" s="7"/>
      <c r="U22" s="7"/>
      <c r="W22" s="7"/>
      <c r="Y22" s="7"/>
    </row>
    <row r="25" spans="1:25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25" x14ac:dyDescent="0.3">
      <c r="A26" t="s">
        <v>13</v>
      </c>
      <c r="B26" s="3">
        <f>AVERAGE(B15:C15)</f>
        <v>5.0000000000000044E-4</v>
      </c>
      <c r="C26" s="3">
        <f>STDEV(B15:C15)</f>
        <v>7.0710678118654816E-4</v>
      </c>
      <c r="D26" s="3">
        <f t="shared" ref="D26:L33" si="0">AVERAGE(D15:E15)</f>
        <v>2.5000000000000022E-3</v>
      </c>
      <c r="E26" s="3">
        <f>STDEV(D15:E15)</f>
        <v>7.0710678118654816E-4</v>
      </c>
      <c r="F26" s="3">
        <f t="shared" si="0"/>
        <v>-2.0000000000000018E-3</v>
      </c>
      <c r="G26" s="3">
        <f>STDEV(F15:G15)</f>
        <v>4.2426406871192892E-3</v>
      </c>
      <c r="H26" s="3">
        <f t="shared" si="0"/>
        <v>-5.0000000000000044E-4</v>
      </c>
      <c r="I26" s="3">
        <f>STDEV(H15:I15)</f>
        <v>7.0710678118654816E-4</v>
      </c>
      <c r="J26" s="3">
        <f t="shared" si="0"/>
        <v>-2.4999999999999953E-3</v>
      </c>
      <c r="K26" s="3">
        <f>STDEV(J15:K15)</f>
        <v>2.1213203435596442E-3</v>
      </c>
      <c r="L26" s="3">
        <f t="shared" ref="L26:M26" si="1">AVERAGE(L15:M15)</f>
        <v>0</v>
      </c>
      <c r="M26" s="3">
        <f>STDEV(L15:M15)</f>
        <v>0</v>
      </c>
    </row>
    <row r="27" spans="1:25" x14ac:dyDescent="0.3">
      <c r="A27" t="s">
        <v>14</v>
      </c>
      <c r="B27" s="3">
        <f t="shared" ref="B27:B33" si="2">AVERAGE(B16:C16)</f>
        <v>0</v>
      </c>
      <c r="C27" s="3">
        <f t="shared" ref="C27:E33" si="3">STDEV(B16:C16)</f>
        <v>0</v>
      </c>
      <c r="D27" s="3">
        <f t="shared" si="0"/>
        <v>5.4999999999999979E-3</v>
      </c>
      <c r="E27" s="3">
        <f t="shared" si="3"/>
        <v>3.5355339059327307E-3</v>
      </c>
      <c r="F27" s="3">
        <f t="shared" si="0"/>
        <v>1.5000000000000013E-3</v>
      </c>
      <c r="G27" s="3">
        <f t="shared" ref="G27:G33" si="4">STDEV(F16:G16)</f>
        <v>7.0710678118654816E-4</v>
      </c>
      <c r="H27" s="3">
        <f t="shared" si="0"/>
        <v>3.0000000000000027E-3</v>
      </c>
      <c r="I27" s="3">
        <f t="shared" ref="I27:I33" si="5">STDEV(H16:I16)</f>
        <v>0</v>
      </c>
      <c r="J27" s="3">
        <f t="shared" si="0"/>
        <v>0</v>
      </c>
      <c r="K27" s="3">
        <f t="shared" ref="K27:K33" si="6">STDEV(J16:K16)</f>
        <v>0</v>
      </c>
      <c r="L27" s="3">
        <f t="shared" si="0"/>
        <v>-5.0000000000000044E-4</v>
      </c>
      <c r="M27" s="3">
        <f t="shared" ref="M27:M33" si="7">STDEV(L16:M16)</f>
        <v>7.0710678118654816E-4</v>
      </c>
    </row>
    <row r="28" spans="1:25" x14ac:dyDescent="0.3">
      <c r="A28" t="s">
        <v>15</v>
      </c>
      <c r="B28" s="3">
        <f t="shared" si="2"/>
        <v>1.0000000000000009E-3</v>
      </c>
      <c r="C28" s="3">
        <f t="shared" si="3"/>
        <v>1.4142135623730963E-3</v>
      </c>
      <c r="D28" s="3">
        <f t="shared" si="0"/>
        <v>1.0000000000000009E-3</v>
      </c>
      <c r="E28" s="3">
        <f t="shared" si="3"/>
        <v>1.4142135623730963E-3</v>
      </c>
      <c r="F28" s="3">
        <f t="shared" si="0"/>
        <v>-2.0000000000000018E-3</v>
      </c>
      <c r="G28" s="3">
        <f t="shared" si="4"/>
        <v>2.8284271247461927E-3</v>
      </c>
      <c r="H28" s="3">
        <f t="shared" si="0"/>
        <v>-5.0000000000000044E-4</v>
      </c>
      <c r="I28" s="3">
        <f t="shared" si="5"/>
        <v>3.5355339059327407E-3</v>
      </c>
      <c r="J28" s="3">
        <f t="shared" si="0"/>
        <v>0</v>
      </c>
      <c r="K28" s="3">
        <f t="shared" si="6"/>
        <v>0</v>
      </c>
      <c r="L28" s="3">
        <f t="shared" si="0"/>
        <v>0</v>
      </c>
      <c r="M28" s="3">
        <f t="shared" si="7"/>
        <v>0</v>
      </c>
    </row>
    <row r="29" spans="1:25" x14ac:dyDescent="0.3">
      <c r="A29" t="s">
        <v>16</v>
      </c>
      <c r="B29" s="3">
        <f t="shared" si="2"/>
        <v>1.4999999999999875E-3</v>
      </c>
      <c r="C29" s="3">
        <f t="shared" si="3"/>
        <v>7.0710678118652854E-4</v>
      </c>
      <c r="D29" s="3">
        <f t="shared" si="0"/>
        <v>5.0000000000000044E-4</v>
      </c>
      <c r="E29" s="3">
        <f t="shared" si="3"/>
        <v>7.0710678118654816E-4</v>
      </c>
      <c r="F29" s="3">
        <f t="shared" si="0"/>
        <v>2.9999999999999818E-3</v>
      </c>
      <c r="G29" s="3">
        <f t="shared" si="4"/>
        <v>2.8284271247461827E-3</v>
      </c>
      <c r="H29" s="3">
        <f t="shared" si="0"/>
        <v>5.0000000000000044E-4</v>
      </c>
      <c r="I29" s="3">
        <f t="shared" si="5"/>
        <v>2.1213203435596446E-3</v>
      </c>
      <c r="J29" s="3">
        <f t="shared" si="0"/>
        <v>0</v>
      </c>
      <c r="K29" s="3">
        <f t="shared" si="6"/>
        <v>0</v>
      </c>
      <c r="L29" s="3">
        <f t="shared" si="0"/>
        <v>0</v>
      </c>
      <c r="M29" s="3">
        <f t="shared" si="7"/>
        <v>0</v>
      </c>
    </row>
    <row r="30" spans="1:25" x14ac:dyDescent="0.3">
      <c r="A30" t="s">
        <v>17</v>
      </c>
      <c r="B30" s="3">
        <f t="shared" si="2"/>
        <v>0</v>
      </c>
      <c r="C30" s="3">
        <f t="shared" si="3"/>
        <v>2.8284271247461927E-3</v>
      </c>
      <c r="D30" s="3">
        <f t="shared" si="0"/>
        <v>1.0000000000000009E-3</v>
      </c>
      <c r="E30" s="3">
        <f t="shared" si="3"/>
        <v>0</v>
      </c>
      <c r="F30" s="3">
        <f t="shared" si="0"/>
        <v>2.5000000000000022E-3</v>
      </c>
      <c r="G30" s="3">
        <f t="shared" si="4"/>
        <v>7.0710678118654816E-4</v>
      </c>
      <c r="H30" s="3">
        <f t="shared" si="0"/>
        <v>5.0000000000000044E-4</v>
      </c>
      <c r="I30" s="3">
        <f t="shared" si="5"/>
        <v>3.5355339059327407E-3</v>
      </c>
      <c r="J30" s="3">
        <f t="shared" si="0"/>
        <v>0</v>
      </c>
      <c r="K30" s="3">
        <f t="shared" si="6"/>
        <v>0</v>
      </c>
      <c r="L30" s="3">
        <f t="shared" si="0"/>
        <v>3.0000000000000027E-3</v>
      </c>
      <c r="M30" s="3">
        <f t="shared" si="7"/>
        <v>4.2426406871192892E-3</v>
      </c>
    </row>
    <row r="31" spans="1:25" x14ac:dyDescent="0.3">
      <c r="A31" t="s">
        <v>18</v>
      </c>
      <c r="B31" s="3">
        <f t="shared" si="2"/>
        <v>3.4999999999999962E-3</v>
      </c>
      <c r="C31" s="3">
        <f t="shared" si="3"/>
        <v>4.9497474683058273E-3</v>
      </c>
      <c r="D31" s="3">
        <f t="shared" si="0"/>
        <v>-5.0000000000000044E-4</v>
      </c>
      <c r="E31" s="3">
        <f t="shared" si="3"/>
        <v>7.0710678118654816E-4</v>
      </c>
      <c r="F31" s="3">
        <f t="shared" si="0"/>
        <v>1.5000000000000013E-3</v>
      </c>
      <c r="G31" s="3">
        <f t="shared" si="4"/>
        <v>7.0710678118654816E-4</v>
      </c>
      <c r="H31" s="3">
        <f t="shared" si="0"/>
        <v>5.0000000000000391E-4</v>
      </c>
      <c r="I31" s="3">
        <f t="shared" si="5"/>
        <v>2.1213203435596394E-3</v>
      </c>
      <c r="J31" s="3">
        <f t="shared" si="0"/>
        <v>-9.9999999999999742E-4</v>
      </c>
      <c r="K31" s="3">
        <f t="shared" si="6"/>
        <v>4.9065389333867974E-18</v>
      </c>
      <c r="L31" s="3">
        <f t="shared" si="0"/>
        <v>1.0000000000000009E-3</v>
      </c>
      <c r="M31" s="3">
        <f t="shared" si="7"/>
        <v>0</v>
      </c>
    </row>
    <row r="32" spans="1:25" x14ac:dyDescent="0.3">
      <c r="A32" t="s">
        <v>19</v>
      </c>
      <c r="B32" s="3">
        <f t="shared" si="2"/>
        <v>1.5000000000000013E-3</v>
      </c>
      <c r="C32" s="3">
        <f t="shared" si="3"/>
        <v>7.0710678118654816E-4</v>
      </c>
      <c r="D32" s="3">
        <f t="shared" si="0"/>
        <v>1.0000000000000009E-3</v>
      </c>
      <c r="E32" s="3">
        <f t="shared" si="3"/>
        <v>0</v>
      </c>
      <c r="F32" s="3">
        <f t="shared" si="0"/>
        <v>2.0000000000000018E-3</v>
      </c>
      <c r="G32" s="3">
        <f t="shared" si="4"/>
        <v>1.4142135623730961E-3</v>
      </c>
      <c r="H32" s="3">
        <f t="shared" si="0"/>
        <v>0</v>
      </c>
      <c r="I32" s="3">
        <f t="shared" si="5"/>
        <v>0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0</v>
      </c>
      <c r="M32" s="3">
        <f t="shared" si="7"/>
        <v>0</v>
      </c>
    </row>
    <row r="33" spans="1:13" x14ac:dyDescent="0.3">
      <c r="A33" t="s">
        <v>20</v>
      </c>
      <c r="B33" s="3">
        <f t="shared" si="2"/>
        <v>6.0000000000000053E-3</v>
      </c>
      <c r="C33" s="3">
        <f t="shared" si="3"/>
        <v>2.1213203435596444E-2</v>
      </c>
      <c r="D33" s="3">
        <f t="shared" si="0"/>
        <v>-5.0000000000000044E-4</v>
      </c>
      <c r="E33" s="3">
        <f t="shared" si="3"/>
        <v>7.0710678118654816E-4</v>
      </c>
      <c r="F33" s="3">
        <f t="shared" si="0"/>
        <v>4.500000000000004E-3</v>
      </c>
      <c r="G33" s="3">
        <f t="shared" si="4"/>
        <v>4.9497474683058377E-3</v>
      </c>
      <c r="H33" s="3">
        <f t="shared" si="0"/>
        <v>0</v>
      </c>
      <c r="I33" s="3">
        <f t="shared" si="5"/>
        <v>0</v>
      </c>
      <c r="J33" s="3">
        <f t="shared" si="0"/>
        <v>0</v>
      </c>
      <c r="K33" s="3">
        <f t="shared" si="6"/>
        <v>0</v>
      </c>
      <c r="L33" s="3">
        <f t="shared" si="0"/>
        <v>0</v>
      </c>
      <c r="M33" s="3">
        <f t="shared" si="7"/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3"/>
  <sheetViews>
    <sheetView topLeftCell="A23" workbookViewId="0">
      <selection activeCell="R17" sqref="R17"/>
    </sheetView>
  </sheetViews>
  <sheetFormatPr baseColWidth="10" defaultColWidth="8.88671875" defaultRowHeight="14.4" x14ac:dyDescent="0.3"/>
  <cols>
    <col min="15" max="29" width="8.88671875" style="6"/>
  </cols>
  <sheetData>
    <row r="1" spans="1:25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2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25" x14ac:dyDescent="0.3">
      <c r="A3" t="s">
        <v>13</v>
      </c>
      <c r="B3">
        <v>9.8000000000000004E-2</v>
      </c>
      <c r="C3">
        <v>8.5000000000000006E-2</v>
      </c>
      <c r="D3">
        <v>7.4999999999999997E-2</v>
      </c>
      <c r="E3">
        <v>8.8999999999999996E-2</v>
      </c>
      <c r="F3">
        <v>0.14299999999999999</v>
      </c>
      <c r="G3">
        <v>0.11600000000000001</v>
      </c>
      <c r="H3">
        <v>8.3000000000000004E-2</v>
      </c>
      <c r="I3">
        <v>6.0999999999999999E-2</v>
      </c>
      <c r="J3">
        <v>5.0999999999999997E-2</v>
      </c>
      <c r="K3">
        <v>4.8000000000000001E-2</v>
      </c>
      <c r="L3">
        <v>0.12</v>
      </c>
      <c r="M3">
        <v>9.1999999999999998E-2</v>
      </c>
    </row>
    <row r="4" spans="1:25" x14ac:dyDescent="0.3">
      <c r="A4" t="s">
        <v>14</v>
      </c>
      <c r="B4">
        <v>0.128</v>
      </c>
      <c r="C4">
        <v>0.14000000000000001</v>
      </c>
      <c r="D4">
        <v>7.9000000000000001E-2</v>
      </c>
      <c r="E4">
        <v>8.7999999999999995E-2</v>
      </c>
      <c r="F4">
        <v>0.15</v>
      </c>
      <c r="G4">
        <v>0.129</v>
      </c>
      <c r="H4">
        <v>9.5000000000000001E-2</v>
      </c>
      <c r="I4">
        <v>9.5000000000000001E-2</v>
      </c>
      <c r="J4">
        <v>6.2E-2</v>
      </c>
      <c r="K4">
        <v>5.2999999999999999E-2</v>
      </c>
      <c r="L4">
        <v>9.2999999999999999E-2</v>
      </c>
      <c r="M4">
        <v>0.111</v>
      </c>
    </row>
    <row r="5" spans="1:25" x14ac:dyDescent="0.3">
      <c r="A5" t="s">
        <v>15</v>
      </c>
      <c r="B5">
        <v>0.14099999999999999</v>
      </c>
      <c r="C5">
        <v>0.14499999999999999</v>
      </c>
      <c r="D5">
        <v>8.4000000000000005E-2</v>
      </c>
      <c r="E5">
        <v>8.1000000000000003E-2</v>
      </c>
      <c r="F5">
        <v>0.10199999999999999</v>
      </c>
      <c r="G5">
        <v>0.11</v>
      </c>
      <c r="H5">
        <v>7.6999999999999999E-2</v>
      </c>
      <c r="I5">
        <v>6.6000000000000003E-2</v>
      </c>
      <c r="J5">
        <v>9.4E-2</v>
      </c>
      <c r="K5">
        <v>0.11799999999999999</v>
      </c>
      <c r="L5">
        <v>0.114</v>
      </c>
      <c r="M5">
        <v>0.107</v>
      </c>
    </row>
    <row r="6" spans="1:25" x14ac:dyDescent="0.3">
      <c r="A6" t="s">
        <v>16</v>
      </c>
      <c r="B6">
        <v>0.17299999999999999</v>
      </c>
      <c r="C6">
        <v>0.186</v>
      </c>
      <c r="D6">
        <v>8.4000000000000005E-2</v>
      </c>
      <c r="E6">
        <v>9.0999999999999998E-2</v>
      </c>
      <c r="F6">
        <v>0.11899999999999999</v>
      </c>
      <c r="G6">
        <v>0.20499999999999999</v>
      </c>
      <c r="H6">
        <v>7.0000000000000007E-2</v>
      </c>
      <c r="I6">
        <v>0.111</v>
      </c>
      <c r="J6">
        <v>8.3000000000000004E-2</v>
      </c>
      <c r="K6">
        <v>8.4000000000000005E-2</v>
      </c>
      <c r="L6">
        <v>0.10100000000000001</v>
      </c>
      <c r="M6">
        <v>9.7000000000000003E-2</v>
      </c>
    </row>
    <row r="7" spans="1:25" x14ac:dyDescent="0.3">
      <c r="A7" t="s">
        <v>17</v>
      </c>
      <c r="B7">
        <v>0.13500000000000001</v>
      </c>
      <c r="C7">
        <v>0.14799999999999999</v>
      </c>
      <c r="D7">
        <v>8.3000000000000004E-2</v>
      </c>
      <c r="E7">
        <v>8.8999999999999996E-2</v>
      </c>
      <c r="F7">
        <v>0.11600000000000001</v>
      </c>
      <c r="G7">
        <v>0.108</v>
      </c>
      <c r="H7">
        <v>9.6000000000000002E-2</v>
      </c>
      <c r="I7">
        <v>8.2000000000000003E-2</v>
      </c>
      <c r="J7">
        <v>6.9000000000000006E-2</v>
      </c>
      <c r="K7">
        <v>6.9000000000000006E-2</v>
      </c>
      <c r="L7">
        <v>0.64800000000000002</v>
      </c>
      <c r="M7">
        <v>9.7000000000000003E-2</v>
      </c>
    </row>
    <row r="8" spans="1:25" x14ac:dyDescent="0.3">
      <c r="A8" t="s">
        <v>18</v>
      </c>
      <c r="B8">
        <v>0.122</v>
      </c>
      <c r="C8">
        <v>9.0999999999999998E-2</v>
      </c>
      <c r="D8">
        <v>7.6999999999999999E-2</v>
      </c>
      <c r="E8">
        <v>7.4999999999999997E-2</v>
      </c>
      <c r="F8">
        <v>9.8000000000000004E-2</v>
      </c>
      <c r="G8">
        <v>0.08</v>
      </c>
      <c r="H8">
        <v>7.6999999999999999E-2</v>
      </c>
      <c r="I8">
        <v>5.8000000000000003E-2</v>
      </c>
      <c r="J8">
        <v>0.05</v>
      </c>
      <c r="K8">
        <v>6.2E-2</v>
      </c>
      <c r="L8">
        <v>0.36899999999999999</v>
      </c>
      <c r="M8">
        <v>9.8000000000000004E-2</v>
      </c>
    </row>
    <row r="9" spans="1:25" x14ac:dyDescent="0.3">
      <c r="A9" t="s">
        <v>19</v>
      </c>
      <c r="B9">
        <v>0.152</v>
      </c>
      <c r="C9">
        <v>0.16500000000000001</v>
      </c>
      <c r="D9">
        <v>0.10199999999999999</v>
      </c>
      <c r="E9">
        <v>0.106</v>
      </c>
      <c r="F9">
        <v>0.11799999999999999</v>
      </c>
      <c r="G9">
        <v>0.10100000000000001</v>
      </c>
      <c r="H9">
        <v>7.0000000000000007E-2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25" x14ac:dyDescent="0.3">
      <c r="A10" t="s">
        <v>20</v>
      </c>
      <c r="B10">
        <v>0.20699999999999999</v>
      </c>
      <c r="C10">
        <v>0.223</v>
      </c>
      <c r="D10">
        <v>0.104</v>
      </c>
      <c r="E10">
        <v>0.111</v>
      </c>
      <c r="F10">
        <v>0.23599999999999999</v>
      </c>
      <c r="G10">
        <v>0.161</v>
      </c>
      <c r="H10">
        <v>9.7000000000000003E-2</v>
      </c>
      <c r="I10">
        <v>9.2999999999999999E-2</v>
      </c>
      <c r="J10">
        <v>9.6000000000000002E-2</v>
      </c>
      <c r="K10">
        <v>0.125</v>
      </c>
      <c r="L10">
        <v>0.125</v>
      </c>
      <c r="M10">
        <v>9.6000000000000002E-2</v>
      </c>
    </row>
    <row r="14" spans="1:25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25" x14ac:dyDescent="0.3">
      <c r="A15" t="s">
        <v>13</v>
      </c>
      <c r="B15" s="3">
        <f xml:space="preserve"> B3 - '+0.0 seg'!$B$3</f>
        <v>0</v>
      </c>
      <c r="C15" s="3">
        <f xml:space="preserve"> C3 - '+0.0 seg'!$C$3</f>
        <v>0</v>
      </c>
      <c r="D15" s="3">
        <f xml:space="preserve"> D3 - '+0.0 seg'!$D$3</f>
        <v>2.0000000000000018E-3</v>
      </c>
      <c r="E15" s="3">
        <f xml:space="preserve"> E3 - '+0.0 seg'!$E$3</f>
        <v>2.0000000000000018E-3</v>
      </c>
      <c r="F15" s="3">
        <f xml:space="preserve"> F3 - '+0.0 seg'!$F$3</f>
        <v>-4.0000000000000036E-3</v>
      </c>
      <c r="G15" s="3">
        <f xml:space="preserve"> G3 - '+0.0 seg'!$G$3</f>
        <v>1.0000000000000009E-3</v>
      </c>
      <c r="H15" s="3">
        <f xml:space="preserve"> H3 - '+0.0 seg'!$H$3</f>
        <v>0</v>
      </c>
      <c r="I15" s="3">
        <f xml:space="preserve"> I3 - '+0.0 seg'!$I$3</f>
        <v>0</v>
      </c>
      <c r="J15" s="3">
        <f xml:space="preserve"> J3 - '+0.0 seg'!$J$3</f>
        <v>0</v>
      </c>
      <c r="K15" s="3">
        <f xml:space="preserve"> K3 - '+0.0 seg'!$K$3</f>
        <v>-3.9999999999999966E-3</v>
      </c>
      <c r="L15" s="3">
        <f xml:space="preserve"> L3 - '+0.0 seg'!$L$3</f>
        <v>0</v>
      </c>
      <c r="M15" s="3">
        <f xml:space="preserve"> M3 - '+0.0 seg'!$M$3</f>
        <v>0</v>
      </c>
      <c r="O15" s="7"/>
      <c r="Q15" s="7"/>
      <c r="S15" s="7"/>
      <c r="U15" s="7"/>
      <c r="W15" s="7"/>
      <c r="Y15" s="7"/>
    </row>
    <row r="16" spans="1:25" x14ac:dyDescent="0.3">
      <c r="A16" t="s">
        <v>14</v>
      </c>
      <c r="B16" s="3">
        <f xml:space="preserve"> B4 - '+0.0 seg'!$B$4</f>
        <v>0</v>
      </c>
      <c r="C16" s="3">
        <f xml:space="preserve"> C4 - '+0.0 seg'!$C$4</f>
        <v>0</v>
      </c>
      <c r="D16" s="3">
        <f xml:space="preserve"> D4 - '+0.0 seg'!$D$4</f>
        <v>3.0000000000000027E-3</v>
      </c>
      <c r="E16" s="3">
        <f xml:space="preserve"> E4 - '+0.0 seg'!$E$4</f>
        <v>3.9999999999999897E-3</v>
      </c>
      <c r="F16" s="3">
        <f xml:space="preserve"> F4 - '+0.0 seg'!$F$4</f>
        <v>4.0000000000000036E-3</v>
      </c>
      <c r="G16" s="3">
        <f xml:space="preserve"> G4 - '+0.0 seg'!$G$4</f>
        <v>2.0000000000000018E-3</v>
      </c>
      <c r="H16" s="3">
        <f xml:space="preserve"> H4 - '+0.0 seg'!$H$4</f>
        <v>4.0000000000000036E-3</v>
      </c>
      <c r="I16" s="3">
        <f xml:space="preserve"> I4 - '+0.0 seg'!$I$4</f>
        <v>3.0000000000000027E-3</v>
      </c>
      <c r="J16" s="3">
        <f xml:space="preserve"> J4 - '+0.0 seg'!$J$4</f>
        <v>0</v>
      </c>
      <c r="K16" s="3">
        <f xml:space="preserve"> K4 - '+0.0 seg'!$K$4</f>
        <v>1.0000000000000009E-3</v>
      </c>
      <c r="L16" s="3">
        <f xml:space="preserve"> L4 - '+0.0 seg'!$L$4</f>
        <v>-1.0000000000000009E-3</v>
      </c>
      <c r="M16" s="3">
        <f xml:space="preserve"> M4 - '+0.0 seg'!$M$4</f>
        <v>0</v>
      </c>
      <c r="O16" s="7"/>
      <c r="Q16" s="7"/>
      <c r="S16" s="7"/>
      <c r="U16" s="7"/>
      <c r="W16" s="7"/>
      <c r="Y16" s="7"/>
    </row>
    <row r="17" spans="1:25" x14ac:dyDescent="0.3">
      <c r="A17" t="s">
        <v>15</v>
      </c>
      <c r="B17" s="3">
        <f xml:space="preserve"> B5 - '+0.0 seg'!$B$5</f>
        <v>0</v>
      </c>
      <c r="C17" s="3">
        <f xml:space="preserve"> C5 - '+0.0 seg'!$C$5</f>
        <v>3.0000000000000027E-3</v>
      </c>
      <c r="D17" s="3">
        <f xml:space="preserve"> D5 - '+0.0 seg'!$D$5</f>
        <v>4.0000000000000036E-3</v>
      </c>
      <c r="E17" s="3">
        <f xml:space="preserve"> E5 - '+0.0 seg'!$E$5</f>
        <v>1.0000000000000009E-3</v>
      </c>
      <c r="F17" s="3">
        <f xml:space="preserve"> F5 - '+0.0 seg'!$F$5</f>
        <v>9.9999999999998701E-4</v>
      </c>
      <c r="G17" s="3">
        <f xml:space="preserve"> G5 - '+0.0 seg'!$G$5</f>
        <v>-6.0000000000000053E-3</v>
      </c>
      <c r="H17" s="3">
        <f xml:space="preserve"> H5 - '+0.0 seg'!$H$5</f>
        <v>2.0000000000000018E-3</v>
      </c>
      <c r="I17" s="3">
        <f xml:space="preserve"> I5 - '+0.0 seg'!$I$5</f>
        <v>-3.0000000000000027E-3</v>
      </c>
      <c r="J17" s="3">
        <f xml:space="preserve"> J5 - '+0.0 seg'!$J$5</f>
        <v>0</v>
      </c>
      <c r="K17" s="3">
        <f xml:space="preserve"> K5 - '+0.0 seg'!$K$5</f>
        <v>0</v>
      </c>
      <c r="L17" s="3">
        <f xml:space="preserve"> L5 - '+0.0 seg'!$L$5</f>
        <v>0</v>
      </c>
      <c r="M17" s="3">
        <f xml:space="preserve"> M5 - '+0.0 seg'!$M$5</f>
        <v>0</v>
      </c>
      <c r="O17" s="7"/>
      <c r="Q17" s="7"/>
      <c r="S17" s="7"/>
      <c r="U17" s="7"/>
      <c r="W17" s="7"/>
      <c r="Y17" s="7"/>
    </row>
    <row r="18" spans="1:25" x14ac:dyDescent="0.3">
      <c r="A18" t="s">
        <v>16</v>
      </c>
      <c r="B18" s="3">
        <f xml:space="preserve"> B6 - '+0.0 seg'!$B$6</f>
        <v>1.999999999999974E-3</v>
      </c>
      <c r="C18" s="3">
        <f xml:space="preserve"> C6 - '+0.0 seg'!$C$6</f>
        <v>2.0000000000000018E-3</v>
      </c>
      <c r="D18" s="3">
        <f xml:space="preserve"> D6 - '+0.0 seg'!$D$6</f>
        <v>2.0000000000000018E-3</v>
      </c>
      <c r="E18" s="3">
        <f xml:space="preserve"> E6 - '+0.0 seg'!$E$6</f>
        <v>0</v>
      </c>
      <c r="F18" s="3">
        <f xml:space="preserve"> F6 - '+0.0 seg'!$F$6</f>
        <v>1.9999999999999879E-3</v>
      </c>
      <c r="G18" s="3">
        <f xml:space="preserve"> G6 - '+0.0 seg'!$G$6</f>
        <v>5.9999999999999776E-3</v>
      </c>
      <c r="H18" s="3">
        <f xml:space="preserve"> H6 - '+0.0 seg'!$H$6</f>
        <v>2.0000000000000018E-3</v>
      </c>
      <c r="I18" s="3">
        <f xml:space="preserve"> I6 - '+0.0 seg'!$I$6</f>
        <v>2.0000000000000018E-3</v>
      </c>
      <c r="J18" s="3">
        <f xml:space="preserve"> J6 - '+0.0 seg'!$J$6</f>
        <v>0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0</v>
      </c>
      <c r="O18" s="7"/>
      <c r="Q18" s="7"/>
      <c r="S18" s="7"/>
      <c r="U18" s="7"/>
      <c r="W18" s="7"/>
      <c r="Y18" s="7"/>
    </row>
    <row r="19" spans="1:25" x14ac:dyDescent="0.3">
      <c r="A19" t="s">
        <v>17</v>
      </c>
      <c r="B19" s="3">
        <f xml:space="preserve"> B7 - '+0.0 seg'!$B$7</f>
        <v>1.0000000000000009E-3</v>
      </c>
      <c r="C19" s="3">
        <f xml:space="preserve"> C7 - '+0.0 seg'!$C$7</f>
        <v>-3.0000000000000027E-3</v>
      </c>
      <c r="D19" s="3">
        <f xml:space="preserve"> D7 - '+0.0 seg'!$D$7</f>
        <v>3.0000000000000027E-3</v>
      </c>
      <c r="E19" s="3">
        <f xml:space="preserve"> E7 - '+0.0 seg'!$E$7</f>
        <v>1.0000000000000009E-3</v>
      </c>
      <c r="F19" s="3">
        <f xml:space="preserve"> F7 - '+0.0 seg'!$F$7</f>
        <v>4.0000000000000036E-3</v>
      </c>
      <c r="G19" s="3">
        <f xml:space="preserve"> G7 - '+0.0 seg'!$G$7</f>
        <v>5.0000000000000044E-3</v>
      </c>
      <c r="H19" s="3">
        <f xml:space="preserve"> H7 - '+0.0 seg'!$H$7</f>
        <v>2.0000000000000018E-3</v>
      </c>
      <c r="I19" s="3">
        <f xml:space="preserve"> I7 - '+0.0 seg'!$I$7</f>
        <v>-2.0000000000000018E-3</v>
      </c>
      <c r="J19" s="3">
        <f xml:space="preserve"> J7 - '+0.0 seg'!$J$7</f>
        <v>0</v>
      </c>
      <c r="K19" s="3">
        <f xml:space="preserve"> K7 - '+0.0 seg'!$K$7</f>
        <v>0</v>
      </c>
      <c r="L19" s="3">
        <f xml:space="preserve"> L7 - '+0.0 seg'!$L$7</f>
        <v>5.0000000000000044E-3</v>
      </c>
      <c r="M19" s="3">
        <f xml:space="preserve"> M7 - '+0.0 seg'!$M$7</f>
        <v>0</v>
      </c>
      <c r="O19" s="7"/>
      <c r="Q19" s="7"/>
      <c r="S19" s="7"/>
      <c r="U19" s="7"/>
      <c r="W19" s="7"/>
      <c r="Y19" s="7"/>
    </row>
    <row r="20" spans="1:25" x14ac:dyDescent="0.3">
      <c r="A20" t="s">
        <v>18</v>
      </c>
      <c r="B20" s="3">
        <f xml:space="preserve"> B8 - '+0.0 seg'!$B$8</f>
        <v>5.9999999999999915E-3</v>
      </c>
      <c r="C20" s="3">
        <f xml:space="preserve"> C8 - '+0.0 seg'!$C$8</f>
        <v>0</v>
      </c>
      <c r="D20" s="3">
        <f xml:space="preserve"> D8 - '+0.0 seg'!$D$8</f>
        <v>-2.0000000000000018E-3</v>
      </c>
      <c r="E20" s="3">
        <f xml:space="preserve"> E8 - '+0.0 seg'!$E$8</f>
        <v>0</v>
      </c>
      <c r="F20" s="3">
        <f xml:space="preserve"> F8 - '+0.0 seg'!$F$8</f>
        <v>2.0000000000000018E-3</v>
      </c>
      <c r="G20" s="3">
        <f xml:space="preserve"> G8 - '+0.0 seg'!$G$8</f>
        <v>1.0000000000000009E-3</v>
      </c>
      <c r="H20" s="3">
        <f xml:space="preserve"> H8 - '+0.0 seg'!$H$8</f>
        <v>1.0000000000000009E-3</v>
      </c>
      <c r="I20" s="3">
        <f xml:space="preserve"> I8 - '+0.0 seg'!$I$8</f>
        <v>-9.9999999999999395E-4</v>
      </c>
      <c r="J20" s="3">
        <f xml:space="preserve"> J8 - '+0.0 seg'!$J$8</f>
        <v>-9.9999999999999395E-4</v>
      </c>
      <c r="K20" s="3">
        <f xml:space="preserve"> K8 - '+0.0 seg'!$K$8</f>
        <v>0</v>
      </c>
      <c r="L20" s="3">
        <f xml:space="preserve"> L8 - '+0.0 seg'!$L$8</f>
        <v>0</v>
      </c>
      <c r="M20" s="3">
        <f xml:space="preserve"> M8 - '+0.0 seg'!$M$8</f>
        <v>1.0000000000000009E-3</v>
      </c>
      <c r="O20" s="7"/>
      <c r="Q20" s="7"/>
      <c r="S20" s="7"/>
      <c r="U20" s="7"/>
      <c r="W20" s="7"/>
      <c r="Y20" s="7"/>
    </row>
    <row r="21" spans="1:25" x14ac:dyDescent="0.3">
      <c r="A21" t="s">
        <v>19</v>
      </c>
      <c r="B21" s="3">
        <f xml:space="preserve"> B9 - '+0.0 seg'!$B$9</f>
        <v>1.0000000000000009E-3</v>
      </c>
      <c r="C21" s="3">
        <f xml:space="preserve"> C9 - '+0.0 seg'!$C$9</f>
        <v>3.0000000000000027E-3</v>
      </c>
      <c r="D21" s="3">
        <f xml:space="preserve"> D9 - '+0.0 seg'!$D$9</f>
        <v>1.9999999999999879E-3</v>
      </c>
      <c r="E21" s="3">
        <f xml:space="preserve"> E9 - '+0.0 seg'!$E$9</f>
        <v>1.0000000000000009E-3</v>
      </c>
      <c r="F21" s="3">
        <f xml:space="preserve"> F9 - '+0.0 seg'!$F$9</f>
        <v>1.9999999999999879E-3</v>
      </c>
      <c r="G21" s="3">
        <f xml:space="preserve"> G9 - '+0.0 seg'!$G$9</f>
        <v>3.0000000000000027E-3</v>
      </c>
      <c r="H21" s="3">
        <f xml:space="preserve"> H9 - '+0.0 seg'!$H$9</f>
        <v>0</v>
      </c>
      <c r="I21" s="3">
        <f xml:space="preserve"> I9 - '+0.0 seg'!$I$9</f>
        <v>0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  <c r="O21" s="7"/>
      <c r="Q21" s="7"/>
      <c r="S21" s="7"/>
      <c r="U21" s="7"/>
      <c r="W21" s="7"/>
      <c r="Y21" s="7"/>
    </row>
    <row r="22" spans="1:25" x14ac:dyDescent="0.3">
      <c r="A22" t="s">
        <v>20</v>
      </c>
      <c r="B22" s="3">
        <f xml:space="preserve"> B10 - '+0.0 seg'!$B$10</f>
        <v>-1.2000000000000011E-2</v>
      </c>
      <c r="C22" s="3">
        <f xml:space="preserve"> C10 - '+0.0 seg'!$C$10</f>
        <v>1.8000000000000016E-2</v>
      </c>
      <c r="D22" s="3">
        <f xml:space="preserve"> D10 - '+0.0 seg'!$D$10</f>
        <v>-1.0000000000000009E-3</v>
      </c>
      <c r="E22" s="3">
        <f xml:space="preserve"> E10 - '+0.0 seg'!$E$10</f>
        <v>-1.0000000000000009E-3</v>
      </c>
      <c r="F22" s="3">
        <f xml:space="preserve"> F10 - '+0.0 seg'!$F$10</f>
        <v>9.9999999999999811E-3</v>
      </c>
      <c r="G22" s="3">
        <f xml:space="preserve"> G10 - '+0.0 seg'!$G$10</f>
        <v>2.0000000000000018E-3</v>
      </c>
      <c r="H22" s="3">
        <f xml:space="preserve"> H10 - '+0.0 seg'!$H$10</f>
        <v>0</v>
      </c>
      <c r="I22" s="3">
        <f xml:space="preserve"> I10 - '+0.0 seg'!$I$10</f>
        <v>1.0000000000000009E-3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0</v>
      </c>
      <c r="O22" s="7"/>
      <c r="Q22" s="7"/>
      <c r="S22" s="7"/>
      <c r="U22" s="7"/>
      <c r="W22" s="7"/>
      <c r="Y22" s="7"/>
    </row>
    <row r="25" spans="1:25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25" x14ac:dyDescent="0.3">
      <c r="A26" t="s">
        <v>13</v>
      </c>
      <c r="B26" s="3">
        <f>AVERAGE(B15:C15)</f>
        <v>0</v>
      </c>
      <c r="C26" s="3">
        <f>STDEV(B15:C15)</f>
        <v>0</v>
      </c>
      <c r="D26" s="3">
        <f t="shared" ref="D26:L33" si="0">AVERAGE(D15:E15)</f>
        <v>2.0000000000000018E-3</v>
      </c>
      <c r="E26" s="3">
        <f>STDEV(D15:E15)</f>
        <v>0</v>
      </c>
      <c r="F26" s="3">
        <f t="shared" si="0"/>
        <v>-1.5000000000000013E-3</v>
      </c>
      <c r="G26" s="3">
        <f>STDEV(F15:G15)</f>
        <v>3.5355339059327407E-3</v>
      </c>
      <c r="H26" s="3">
        <f t="shared" si="0"/>
        <v>0</v>
      </c>
      <c r="I26" s="3">
        <f>STDEV(H15:I15)</f>
        <v>0</v>
      </c>
      <c r="J26" s="3">
        <f t="shared" si="0"/>
        <v>-1.9999999999999983E-3</v>
      </c>
      <c r="K26" s="3">
        <f>STDEV(J15:K15)</f>
        <v>2.8284271247461874E-3</v>
      </c>
      <c r="L26" s="3">
        <f t="shared" ref="L26:M26" si="1">AVERAGE(L15:M15)</f>
        <v>0</v>
      </c>
      <c r="M26" s="3">
        <f>STDEV(L15:M15)</f>
        <v>0</v>
      </c>
    </row>
    <row r="27" spans="1:25" x14ac:dyDescent="0.3">
      <c r="A27" t="s">
        <v>14</v>
      </c>
      <c r="B27" s="3">
        <f t="shared" ref="B27:B33" si="2">AVERAGE(B16:C16)</f>
        <v>0</v>
      </c>
      <c r="C27" s="3">
        <f t="shared" ref="C27:E33" si="3">STDEV(B16:C16)</f>
        <v>0</v>
      </c>
      <c r="D27" s="3">
        <f t="shared" si="0"/>
        <v>3.4999999999999962E-3</v>
      </c>
      <c r="E27" s="3">
        <f t="shared" si="3"/>
        <v>7.0710678118653841E-4</v>
      </c>
      <c r="F27" s="3">
        <f t="shared" si="0"/>
        <v>3.0000000000000027E-3</v>
      </c>
      <c r="G27" s="3">
        <f t="shared" ref="G27:G33" si="4">STDEV(F16:G16)</f>
        <v>1.4142135623730963E-3</v>
      </c>
      <c r="H27" s="3">
        <f t="shared" si="0"/>
        <v>3.5000000000000031E-3</v>
      </c>
      <c r="I27" s="3">
        <f t="shared" ref="I27:I33" si="5">STDEV(H16:I16)</f>
        <v>7.0710678118654816E-4</v>
      </c>
      <c r="J27" s="3">
        <f t="shared" si="0"/>
        <v>5.0000000000000044E-4</v>
      </c>
      <c r="K27" s="3">
        <f t="shared" ref="K27:K33" si="6">STDEV(J16:K16)</f>
        <v>7.0710678118654816E-4</v>
      </c>
      <c r="L27" s="3">
        <f t="shared" si="0"/>
        <v>-5.0000000000000044E-4</v>
      </c>
      <c r="M27" s="3">
        <f t="shared" ref="M27:M33" si="7">STDEV(L16:M16)</f>
        <v>7.0710678118654816E-4</v>
      </c>
    </row>
    <row r="28" spans="1:25" x14ac:dyDescent="0.3">
      <c r="A28" t="s">
        <v>15</v>
      </c>
      <c r="B28" s="3">
        <f t="shared" si="2"/>
        <v>1.5000000000000013E-3</v>
      </c>
      <c r="C28" s="3">
        <f t="shared" si="3"/>
        <v>2.1213203435596446E-3</v>
      </c>
      <c r="D28" s="3">
        <f t="shared" si="0"/>
        <v>2.5000000000000022E-3</v>
      </c>
      <c r="E28" s="3">
        <f t="shared" si="3"/>
        <v>2.1213203435596446E-3</v>
      </c>
      <c r="F28" s="3">
        <f t="shared" si="0"/>
        <v>-2.5000000000000092E-3</v>
      </c>
      <c r="G28" s="3">
        <f t="shared" si="4"/>
        <v>4.9497474683058273E-3</v>
      </c>
      <c r="H28" s="3">
        <f t="shared" si="0"/>
        <v>-5.0000000000000044E-4</v>
      </c>
      <c r="I28" s="3">
        <f t="shared" si="5"/>
        <v>3.5355339059327407E-3</v>
      </c>
      <c r="J28" s="3">
        <f t="shared" si="0"/>
        <v>0</v>
      </c>
      <c r="K28" s="3">
        <f t="shared" si="6"/>
        <v>0</v>
      </c>
      <c r="L28" s="3">
        <f t="shared" si="0"/>
        <v>0</v>
      </c>
      <c r="M28" s="3">
        <f t="shared" si="7"/>
        <v>0</v>
      </c>
    </row>
    <row r="29" spans="1:25" x14ac:dyDescent="0.3">
      <c r="A29" t="s">
        <v>16</v>
      </c>
      <c r="B29" s="3">
        <f t="shared" si="2"/>
        <v>1.9999999999999879E-3</v>
      </c>
      <c r="C29" s="3">
        <f t="shared" si="3"/>
        <v>1.962615573354719E-17</v>
      </c>
      <c r="D29" s="3">
        <f t="shared" si="0"/>
        <v>1.0000000000000009E-3</v>
      </c>
      <c r="E29" s="3">
        <f t="shared" si="3"/>
        <v>1.4142135623730963E-3</v>
      </c>
      <c r="F29" s="3">
        <f t="shared" si="0"/>
        <v>3.9999999999999827E-3</v>
      </c>
      <c r="G29" s="3">
        <f t="shared" si="4"/>
        <v>2.8284271247461835E-3</v>
      </c>
      <c r="H29" s="3">
        <f t="shared" si="0"/>
        <v>2.0000000000000018E-3</v>
      </c>
      <c r="I29" s="3">
        <f t="shared" si="5"/>
        <v>0</v>
      </c>
      <c r="J29" s="3">
        <f t="shared" si="0"/>
        <v>0</v>
      </c>
      <c r="K29" s="3">
        <f t="shared" si="6"/>
        <v>0</v>
      </c>
      <c r="L29" s="3">
        <f t="shared" si="0"/>
        <v>0</v>
      </c>
      <c r="M29" s="3">
        <f t="shared" si="7"/>
        <v>0</v>
      </c>
    </row>
    <row r="30" spans="1:25" x14ac:dyDescent="0.3">
      <c r="A30" t="s">
        <v>17</v>
      </c>
      <c r="B30" s="3">
        <f t="shared" si="2"/>
        <v>-1.0000000000000009E-3</v>
      </c>
      <c r="C30" s="3">
        <f t="shared" si="3"/>
        <v>2.8284271247461927E-3</v>
      </c>
      <c r="D30" s="3">
        <f t="shared" si="0"/>
        <v>2.0000000000000018E-3</v>
      </c>
      <c r="E30" s="3">
        <f t="shared" si="3"/>
        <v>1.4142135623730961E-3</v>
      </c>
      <c r="F30" s="3">
        <f t="shared" si="0"/>
        <v>4.500000000000004E-3</v>
      </c>
      <c r="G30" s="3">
        <f t="shared" si="4"/>
        <v>7.0710678118654816E-4</v>
      </c>
      <c r="H30" s="3">
        <f t="shared" si="0"/>
        <v>0</v>
      </c>
      <c r="I30" s="3">
        <f t="shared" si="5"/>
        <v>2.8284271247461927E-3</v>
      </c>
      <c r="J30" s="3">
        <f t="shared" si="0"/>
        <v>0</v>
      </c>
      <c r="K30" s="3">
        <f t="shared" si="6"/>
        <v>0</v>
      </c>
      <c r="L30" s="3">
        <f t="shared" si="0"/>
        <v>2.5000000000000022E-3</v>
      </c>
      <c r="M30" s="3">
        <f t="shared" si="7"/>
        <v>3.5355339059327407E-3</v>
      </c>
    </row>
    <row r="31" spans="1:25" x14ac:dyDescent="0.3">
      <c r="A31" t="s">
        <v>18</v>
      </c>
      <c r="B31" s="3">
        <f t="shared" si="2"/>
        <v>2.9999999999999957E-3</v>
      </c>
      <c r="C31" s="3">
        <f t="shared" si="3"/>
        <v>4.2426406871192788E-3</v>
      </c>
      <c r="D31" s="3">
        <f t="shared" si="0"/>
        <v>-1.0000000000000009E-3</v>
      </c>
      <c r="E31" s="3">
        <f t="shared" si="3"/>
        <v>1.4142135623730963E-3</v>
      </c>
      <c r="F31" s="3">
        <f t="shared" si="0"/>
        <v>1.5000000000000013E-3</v>
      </c>
      <c r="G31" s="3">
        <f t="shared" si="4"/>
        <v>7.0710678118654816E-4</v>
      </c>
      <c r="H31" s="3">
        <f t="shared" si="0"/>
        <v>3.4694469519536142E-18</v>
      </c>
      <c r="I31" s="3">
        <f t="shared" si="5"/>
        <v>1.4142135623730913E-3</v>
      </c>
      <c r="J31" s="3">
        <f t="shared" si="0"/>
        <v>-4.9999999999999697E-4</v>
      </c>
      <c r="K31" s="3">
        <f t="shared" si="6"/>
        <v>7.0710678118654328E-4</v>
      </c>
      <c r="L31" s="3">
        <f t="shared" si="0"/>
        <v>5.0000000000000044E-4</v>
      </c>
      <c r="M31" s="3">
        <f t="shared" si="7"/>
        <v>7.0710678118654816E-4</v>
      </c>
    </row>
    <row r="32" spans="1:25" x14ac:dyDescent="0.3">
      <c r="A32" t="s">
        <v>19</v>
      </c>
      <c r="B32" s="3">
        <f t="shared" si="2"/>
        <v>2.0000000000000018E-3</v>
      </c>
      <c r="C32" s="3">
        <f t="shared" si="3"/>
        <v>1.4142135623730961E-3</v>
      </c>
      <c r="D32" s="3">
        <f t="shared" si="0"/>
        <v>1.4999999999999944E-3</v>
      </c>
      <c r="E32" s="3">
        <f t="shared" si="3"/>
        <v>7.0710678118653841E-4</v>
      </c>
      <c r="F32" s="3">
        <f t="shared" si="0"/>
        <v>2.4999999999999953E-3</v>
      </c>
      <c r="G32" s="3">
        <f t="shared" si="4"/>
        <v>7.0710678118655803E-4</v>
      </c>
      <c r="H32" s="3">
        <f t="shared" si="0"/>
        <v>0</v>
      </c>
      <c r="I32" s="3">
        <f t="shared" si="5"/>
        <v>0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0</v>
      </c>
      <c r="M32" s="3">
        <f t="shared" si="7"/>
        <v>0</v>
      </c>
    </row>
    <row r="33" spans="1:13" x14ac:dyDescent="0.3">
      <c r="A33" t="s">
        <v>20</v>
      </c>
      <c r="B33" s="3">
        <f t="shared" si="2"/>
        <v>3.0000000000000027E-3</v>
      </c>
      <c r="C33" s="3">
        <f t="shared" si="3"/>
        <v>2.1213203435596444E-2</v>
      </c>
      <c r="D33" s="3">
        <f t="shared" si="0"/>
        <v>-1.0000000000000009E-3</v>
      </c>
      <c r="E33" s="3">
        <f t="shared" si="3"/>
        <v>0</v>
      </c>
      <c r="F33" s="3">
        <f t="shared" si="0"/>
        <v>5.9999999999999915E-3</v>
      </c>
      <c r="G33" s="3">
        <f t="shared" si="4"/>
        <v>5.6568542494923654E-3</v>
      </c>
      <c r="H33" s="3">
        <f t="shared" si="0"/>
        <v>5.0000000000000044E-4</v>
      </c>
      <c r="I33" s="3">
        <f t="shared" si="5"/>
        <v>7.0710678118654816E-4</v>
      </c>
      <c r="J33" s="3">
        <f t="shared" si="0"/>
        <v>0</v>
      </c>
      <c r="K33" s="3">
        <f t="shared" si="6"/>
        <v>0</v>
      </c>
      <c r="L33" s="3">
        <f t="shared" si="0"/>
        <v>0</v>
      </c>
      <c r="M33" s="3">
        <f t="shared" si="7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"/>
  <sheetViews>
    <sheetView topLeftCell="A11" workbookViewId="0">
      <selection activeCell="A25" sqref="A25:M33"/>
    </sheetView>
  </sheetViews>
  <sheetFormatPr baseColWidth="10" defaultColWidth="8.88671875" defaultRowHeight="14.4" x14ac:dyDescent="0.3"/>
  <cols>
    <col min="1" max="13" width="10.88671875" customWidth="1"/>
  </cols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9.9000000000000005E-2</v>
      </c>
      <c r="C3">
        <v>8.5999999999999993E-2</v>
      </c>
      <c r="D3">
        <v>7.5999999999999998E-2</v>
      </c>
      <c r="E3">
        <v>9.0999999999999998E-2</v>
      </c>
      <c r="F3">
        <v>0.14299999999999999</v>
      </c>
      <c r="G3">
        <v>0.11700000000000001</v>
      </c>
      <c r="H3">
        <v>8.3000000000000004E-2</v>
      </c>
      <c r="I3">
        <v>6.0999999999999999E-2</v>
      </c>
      <c r="J3">
        <v>0.05</v>
      </c>
      <c r="K3">
        <v>4.8000000000000001E-2</v>
      </c>
      <c r="L3">
        <v>0.12</v>
      </c>
      <c r="M3">
        <v>9.1999999999999998E-2</v>
      </c>
    </row>
    <row r="4" spans="1:13" x14ac:dyDescent="0.3">
      <c r="A4" t="s">
        <v>14</v>
      </c>
      <c r="B4">
        <v>0.129</v>
      </c>
      <c r="C4">
        <v>0.14099999999999999</v>
      </c>
      <c r="D4">
        <v>7.9000000000000001E-2</v>
      </c>
      <c r="E4">
        <v>8.6999999999999994E-2</v>
      </c>
      <c r="F4">
        <v>0.15</v>
      </c>
      <c r="G4">
        <v>0.129</v>
      </c>
      <c r="H4">
        <v>9.6000000000000002E-2</v>
      </c>
      <c r="I4">
        <v>9.5000000000000001E-2</v>
      </c>
      <c r="J4">
        <v>6.0999999999999999E-2</v>
      </c>
      <c r="K4">
        <v>5.2999999999999999E-2</v>
      </c>
      <c r="L4">
        <v>9.2999999999999999E-2</v>
      </c>
      <c r="M4">
        <v>0.111</v>
      </c>
    </row>
    <row r="5" spans="1:13" x14ac:dyDescent="0.3">
      <c r="A5" t="s">
        <v>15</v>
      </c>
      <c r="B5">
        <v>0.14199999999999999</v>
      </c>
      <c r="C5">
        <v>0.14599999999999999</v>
      </c>
      <c r="D5">
        <v>8.4000000000000005E-2</v>
      </c>
      <c r="E5">
        <v>0.08</v>
      </c>
      <c r="F5">
        <v>0.10199999999999999</v>
      </c>
      <c r="G5">
        <v>0.109</v>
      </c>
      <c r="H5">
        <v>7.8E-2</v>
      </c>
      <c r="I5">
        <v>6.4000000000000001E-2</v>
      </c>
      <c r="J5">
        <v>9.2999999999999999E-2</v>
      </c>
      <c r="K5">
        <v>0.11799999999999999</v>
      </c>
      <c r="L5">
        <v>0.114</v>
      </c>
      <c r="M5">
        <v>0.107</v>
      </c>
    </row>
    <row r="6" spans="1:13" x14ac:dyDescent="0.3">
      <c r="A6" t="s">
        <v>16</v>
      </c>
      <c r="B6">
        <v>0.17399999999999999</v>
      </c>
      <c r="C6">
        <v>0.186</v>
      </c>
      <c r="D6">
        <v>8.3000000000000004E-2</v>
      </c>
      <c r="E6">
        <v>9.0999999999999998E-2</v>
      </c>
      <c r="F6">
        <v>0.11899999999999999</v>
      </c>
      <c r="G6">
        <v>0.20599999999999999</v>
      </c>
      <c r="H6">
        <v>7.0000000000000007E-2</v>
      </c>
      <c r="I6">
        <v>0.109</v>
      </c>
      <c r="J6">
        <v>8.3000000000000004E-2</v>
      </c>
      <c r="K6">
        <v>8.4000000000000005E-2</v>
      </c>
      <c r="L6">
        <v>0.10100000000000001</v>
      </c>
      <c r="M6">
        <v>9.7000000000000003E-2</v>
      </c>
    </row>
    <row r="7" spans="1:13" x14ac:dyDescent="0.3">
      <c r="A7" t="s">
        <v>17</v>
      </c>
      <c r="B7">
        <v>0.13600000000000001</v>
      </c>
      <c r="C7">
        <v>0.15</v>
      </c>
      <c r="D7">
        <v>8.2000000000000003E-2</v>
      </c>
      <c r="E7">
        <v>0.09</v>
      </c>
      <c r="F7">
        <v>0.11600000000000001</v>
      </c>
      <c r="G7">
        <v>0.109</v>
      </c>
      <c r="H7">
        <v>9.9000000000000005E-2</v>
      </c>
      <c r="I7">
        <v>0.08</v>
      </c>
      <c r="J7">
        <v>6.8000000000000005E-2</v>
      </c>
      <c r="K7">
        <v>6.9000000000000006E-2</v>
      </c>
      <c r="L7">
        <v>0.65300000000000002</v>
      </c>
      <c r="M7">
        <v>9.7000000000000003E-2</v>
      </c>
    </row>
    <row r="8" spans="1:13" x14ac:dyDescent="0.3">
      <c r="A8" t="s">
        <v>18</v>
      </c>
      <c r="B8">
        <v>0.121</v>
      </c>
      <c r="C8">
        <v>9.1999999999999998E-2</v>
      </c>
      <c r="D8">
        <v>7.5999999999999998E-2</v>
      </c>
      <c r="E8">
        <v>7.5999999999999998E-2</v>
      </c>
      <c r="F8">
        <v>9.9000000000000005E-2</v>
      </c>
      <c r="G8">
        <v>0.08</v>
      </c>
      <c r="H8">
        <v>7.8E-2</v>
      </c>
      <c r="I8">
        <v>5.8000000000000003E-2</v>
      </c>
      <c r="J8">
        <v>0.05</v>
      </c>
      <c r="K8">
        <v>6.2E-2</v>
      </c>
      <c r="L8">
        <v>0.37</v>
      </c>
      <c r="M8">
        <v>9.8000000000000004E-2</v>
      </c>
    </row>
    <row r="9" spans="1:13" x14ac:dyDescent="0.3">
      <c r="A9" t="s">
        <v>19</v>
      </c>
      <c r="B9">
        <v>0.153</v>
      </c>
      <c r="C9">
        <v>0.16600000000000001</v>
      </c>
      <c r="D9">
        <v>0.10199999999999999</v>
      </c>
      <c r="E9">
        <v>0.106</v>
      </c>
      <c r="F9">
        <v>0.11799999999999999</v>
      </c>
      <c r="G9">
        <v>0.10199999999999999</v>
      </c>
      <c r="H9">
        <v>7.0999999999999994E-2</v>
      </c>
      <c r="I9">
        <v>7.4999999999999997E-2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3">
      <c r="A10" t="s">
        <v>20</v>
      </c>
      <c r="B10">
        <v>0.22500000000000001</v>
      </c>
      <c r="C10">
        <v>0.219</v>
      </c>
      <c r="D10">
        <v>0.104</v>
      </c>
      <c r="E10">
        <v>0.111</v>
      </c>
      <c r="F10">
        <v>0.23799999999999999</v>
      </c>
      <c r="G10">
        <v>0.16200000000000001</v>
      </c>
      <c r="H10">
        <v>9.8000000000000004E-2</v>
      </c>
      <c r="I10">
        <v>9.2999999999999999E-2</v>
      </c>
      <c r="J10">
        <v>9.6000000000000002E-2</v>
      </c>
      <c r="K10">
        <v>0.125</v>
      </c>
      <c r="L10">
        <v>0.125</v>
      </c>
      <c r="M10">
        <v>9.7000000000000003E-2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1.0000000000000009E-3</v>
      </c>
      <c r="C15" s="3">
        <f xml:space="preserve"> C3 - '+0.0 seg'!$C$3</f>
        <v>9.9999999999998701E-4</v>
      </c>
      <c r="D15" s="3">
        <f xml:space="preserve"> D3 - '+0.0 seg'!$D$3</f>
        <v>3.0000000000000027E-3</v>
      </c>
      <c r="E15" s="3">
        <f xml:space="preserve"> E3 - '+0.0 seg'!$E$3</f>
        <v>4.0000000000000036E-3</v>
      </c>
      <c r="F15" s="3">
        <f xml:space="preserve"> F3 - '+0.0 seg'!$F$3</f>
        <v>-4.0000000000000036E-3</v>
      </c>
      <c r="G15" s="3">
        <f xml:space="preserve"> G3 - '+0.0 seg'!$G$3</f>
        <v>2.0000000000000018E-3</v>
      </c>
      <c r="H15" s="3">
        <f xml:space="preserve"> H3 - '+0.0 seg'!$H$3</f>
        <v>0</v>
      </c>
      <c r="I15" s="3">
        <f xml:space="preserve"> I3 - '+0.0 seg'!$I$3</f>
        <v>0</v>
      </c>
      <c r="J15" s="3">
        <f xml:space="preserve"> J3 - '+0.0 seg'!$J$3</f>
        <v>-9.9999999999999395E-4</v>
      </c>
      <c r="K15" s="3">
        <f xml:space="preserve"> K3 - '+0.0 seg'!$K$3</f>
        <v>-3.9999999999999966E-3</v>
      </c>
      <c r="L15" s="3">
        <f xml:space="preserve"> L3 - '+0.0 seg'!$L$3</f>
        <v>0</v>
      </c>
      <c r="M15" s="3">
        <f xml:space="preserve"> M3 - '+0.0 seg'!$M$3</f>
        <v>0</v>
      </c>
    </row>
    <row r="16" spans="1:13" x14ac:dyDescent="0.3">
      <c r="A16" t="s">
        <v>14</v>
      </c>
      <c r="B16" s="3">
        <f xml:space="preserve"> B4 - '+0.0 seg'!$B$4</f>
        <v>1.0000000000000009E-3</v>
      </c>
      <c r="C16" s="3">
        <f xml:space="preserve"> C4 - '+0.0 seg'!$C$4</f>
        <v>9.9999999999997313E-4</v>
      </c>
      <c r="D16" s="3">
        <f xml:space="preserve"> D4 - '+0.0 seg'!$D$4</f>
        <v>3.0000000000000027E-3</v>
      </c>
      <c r="E16" s="3">
        <f xml:space="preserve"> E4 - '+0.0 seg'!$E$4</f>
        <v>2.9999999999999888E-3</v>
      </c>
      <c r="F16" s="3">
        <f xml:space="preserve"> F4 - '+0.0 seg'!$F$4</f>
        <v>4.0000000000000036E-3</v>
      </c>
      <c r="G16" s="3">
        <f xml:space="preserve"> G4 - '+0.0 seg'!$G$4</f>
        <v>2.0000000000000018E-3</v>
      </c>
      <c r="H16" s="3">
        <f xml:space="preserve"> H4 - '+0.0 seg'!$H$4</f>
        <v>5.0000000000000044E-3</v>
      </c>
      <c r="I16" s="3">
        <f xml:space="preserve"> I4 - '+0.0 seg'!$I$4</f>
        <v>3.0000000000000027E-3</v>
      </c>
      <c r="J16" s="3">
        <f xml:space="preserve"> J4 - '+0.0 seg'!$J$4</f>
        <v>-1.0000000000000009E-3</v>
      </c>
      <c r="K16" s="3">
        <f xml:space="preserve"> K4 - '+0.0 seg'!$K$4</f>
        <v>1.0000000000000009E-3</v>
      </c>
      <c r="L16" s="3">
        <f xml:space="preserve"> L4 - '+0.0 seg'!$L$4</f>
        <v>-1.0000000000000009E-3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1.0000000000000009E-3</v>
      </c>
      <c r="C17" s="3">
        <f xml:space="preserve"> C5 - '+0.0 seg'!$C$5</f>
        <v>4.0000000000000036E-3</v>
      </c>
      <c r="D17" s="3">
        <f xml:space="preserve"> D5 - '+0.0 seg'!$D$5</f>
        <v>4.0000000000000036E-3</v>
      </c>
      <c r="E17" s="3">
        <f xml:space="preserve"> E5 - '+0.0 seg'!$E$5</f>
        <v>0</v>
      </c>
      <c r="F17" s="3">
        <f xml:space="preserve"> F5 - '+0.0 seg'!$F$5</f>
        <v>9.9999999999998701E-4</v>
      </c>
      <c r="G17" s="3">
        <f xml:space="preserve"> G5 - '+0.0 seg'!$G$5</f>
        <v>-7.0000000000000062E-3</v>
      </c>
      <c r="H17" s="3">
        <f xml:space="preserve"> H5 - '+0.0 seg'!$H$5</f>
        <v>3.0000000000000027E-3</v>
      </c>
      <c r="I17" s="3">
        <f xml:space="preserve"> I5 - '+0.0 seg'!$I$5</f>
        <v>-5.0000000000000044E-3</v>
      </c>
      <c r="J17" s="3">
        <f xml:space="preserve"> J5 - '+0.0 seg'!$J$5</f>
        <v>-1.0000000000000009E-3</v>
      </c>
      <c r="K17" s="3">
        <f xml:space="preserve"> K5 - '+0.0 seg'!$K$5</f>
        <v>0</v>
      </c>
      <c r="L17" s="3">
        <f xml:space="preserve"> L5 - '+0.0 seg'!$L$5</f>
        <v>0</v>
      </c>
      <c r="M17" s="3">
        <f xml:space="preserve"> M5 - '+0.0 seg'!$M$5</f>
        <v>0</v>
      </c>
    </row>
    <row r="18" spans="1:13" x14ac:dyDescent="0.3">
      <c r="A18" t="s">
        <v>16</v>
      </c>
      <c r="B18" s="3">
        <f xml:space="preserve"> B6 - '+0.0 seg'!$B$6</f>
        <v>2.9999999999999749E-3</v>
      </c>
      <c r="C18" s="3">
        <f xml:space="preserve"> C6 - '+0.0 seg'!$C$6</f>
        <v>2.0000000000000018E-3</v>
      </c>
      <c r="D18" s="3">
        <f xml:space="preserve"> D6 - '+0.0 seg'!$D$6</f>
        <v>1.0000000000000009E-3</v>
      </c>
      <c r="E18" s="3">
        <f xml:space="preserve"> E6 - '+0.0 seg'!$E$6</f>
        <v>0</v>
      </c>
      <c r="F18" s="3">
        <f xml:space="preserve"> F6 - '+0.0 seg'!$F$6</f>
        <v>1.9999999999999879E-3</v>
      </c>
      <c r="G18" s="3">
        <f xml:space="preserve"> G6 - '+0.0 seg'!$G$6</f>
        <v>6.9999999999999785E-3</v>
      </c>
      <c r="H18" s="3">
        <f xml:space="preserve"> H6 - '+0.0 seg'!$H$6</f>
        <v>2.0000000000000018E-3</v>
      </c>
      <c r="I18" s="3">
        <f xml:space="preserve"> I6 - '+0.0 seg'!$I$6</f>
        <v>0</v>
      </c>
      <c r="J18" s="3">
        <f xml:space="preserve"> J6 - '+0.0 seg'!$J$6</f>
        <v>0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0</v>
      </c>
    </row>
    <row r="19" spans="1:13" x14ac:dyDescent="0.3">
      <c r="A19" t="s">
        <v>17</v>
      </c>
      <c r="B19" s="3">
        <f xml:space="preserve"> B7 - '+0.0 seg'!$B$7</f>
        <v>2.0000000000000018E-3</v>
      </c>
      <c r="C19" s="3">
        <f xml:space="preserve"> C7 - '+0.0 seg'!$C$7</f>
        <v>-1.0000000000000009E-3</v>
      </c>
      <c r="D19" s="3">
        <f xml:space="preserve"> D7 - '+0.0 seg'!$D$7</f>
        <v>2.0000000000000018E-3</v>
      </c>
      <c r="E19" s="3">
        <f xml:space="preserve"> E7 - '+0.0 seg'!$E$7</f>
        <v>2.0000000000000018E-3</v>
      </c>
      <c r="F19" s="3">
        <f xml:space="preserve"> F7 - '+0.0 seg'!$F$7</f>
        <v>4.0000000000000036E-3</v>
      </c>
      <c r="G19" s="3">
        <f xml:space="preserve"> G7 - '+0.0 seg'!$G$7</f>
        <v>6.0000000000000053E-3</v>
      </c>
      <c r="H19" s="3">
        <f xml:space="preserve"> H7 - '+0.0 seg'!$H$7</f>
        <v>5.0000000000000044E-3</v>
      </c>
      <c r="I19" s="3">
        <f xml:space="preserve"> I7 - '+0.0 seg'!$I$7</f>
        <v>-4.0000000000000036E-3</v>
      </c>
      <c r="J19" s="3">
        <f xml:space="preserve"> J7 - '+0.0 seg'!$J$7</f>
        <v>-1.0000000000000009E-3</v>
      </c>
      <c r="K19" s="3">
        <f xml:space="preserve"> K7 - '+0.0 seg'!$K$7</f>
        <v>0</v>
      </c>
      <c r="L19" s="3">
        <f xml:space="preserve"> L7 - '+0.0 seg'!$L$7</f>
        <v>1.0000000000000009E-2</v>
      </c>
      <c r="M19" s="3">
        <f xml:space="preserve"> M7 - '+0.0 seg'!$M$7</f>
        <v>0</v>
      </c>
    </row>
    <row r="20" spans="1:13" x14ac:dyDescent="0.3">
      <c r="A20" t="s">
        <v>18</v>
      </c>
      <c r="B20" s="3">
        <f xml:space="preserve"> B8 - '+0.0 seg'!$B$8</f>
        <v>4.9999999999999906E-3</v>
      </c>
      <c r="C20" s="3">
        <f xml:space="preserve"> C8 - '+0.0 seg'!$C$8</f>
        <v>1.0000000000000009E-3</v>
      </c>
      <c r="D20" s="3">
        <f xml:space="preserve"> D8 - '+0.0 seg'!$D$8</f>
        <v>-3.0000000000000027E-3</v>
      </c>
      <c r="E20" s="3">
        <f xml:space="preserve"> E8 - '+0.0 seg'!$E$8</f>
        <v>1.0000000000000009E-3</v>
      </c>
      <c r="F20" s="3">
        <f xml:space="preserve"> F8 - '+0.0 seg'!$F$8</f>
        <v>3.0000000000000027E-3</v>
      </c>
      <c r="G20" s="3">
        <f xml:space="preserve"> G8 - '+0.0 seg'!$G$8</f>
        <v>1.0000000000000009E-3</v>
      </c>
      <c r="H20" s="3">
        <f xml:space="preserve"> H8 - '+0.0 seg'!$H$8</f>
        <v>2.0000000000000018E-3</v>
      </c>
      <c r="I20" s="3">
        <f xml:space="preserve"> I8 - '+0.0 seg'!$I$8</f>
        <v>-9.9999999999999395E-4</v>
      </c>
      <c r="J20" s="3">
        <f xml:space="preserve"> J8 - '+0.0 seg'!$J$8</f>
        <v>-9.9999999999999395E-4</v>
      </c>
      <c r="K20" s="3">
        <f xml:space="preserve"> K8 - '+0.0 seg'!$K$8</f>
        <v>0</v>
      </c>
      <c r="L20" s="3">
        <f xml:space="preserve"> L8 - '+0.0 seg'!$L$8</f>
        <v>1.0000000000000009E-3</v>
      </c>
      <c r="M20" s="3">
        <f xml:space="preserve"> M8 - '+0.0 seg'!$M$8</f>
        <v>1.0000000000000009E-3</v>
      </c>
    </row>
    <row r="21" spans="1:13" x14ac:dyDescent="0.3">
      <c r="A21" t="s">
        <v>19</v>
      </c>
      <c r="B21" s="3">
        <f xml:space="preserve"> B9 - '+0.0 seg'!$B$9</f>
        <v>2.0000000000000018E-3</v>
      </c>
      <c r="C21" s="3">
        <f xml:space="preserve"> C9 - '+0.0 seg'!$C$9</f>
        <v>4.0000000000000036E-3</v>
      </c>
      <c r="D21" s="3">
        <f xml:space="preserve"> D9 - '+0.0 seg'!$D$9</f>
        <v>1.9999999999999879E-3</v>
      </c>
      <c r="E21" s="3">
        <f xml:space="preserve"> E9 - '+0.0 seg'!$E$9</f>
        <v>1.0000000000000009E-3</v>
      </c>
      <c r="F21" s="3">
        <f xml:space="preserve"> F9 - '+0.0 seg'!$F$9</f>
        <v>1.9999999999999879E-3</v>
      </c>
      <c r="G21" s="3">
        <f xml:space="preserve"> G9 - '+0.0 seg'!$G$9</f>
        <v>3.9999999999999897E-3</v>
      </c>
      <c r="H21" s="3">
        <f xml:space="preserve"> H9 - '+0.0 seg'!$H$9</f>
        <v>9.9999999999998701E-4</v>
      </c>
      <c r="I21" s="3">
        <f xml:space="preserve"> I9 - '+0.0 seg'!$I$9</f>
        <v>1.0000000000000009E-3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</row>
    <row r="22" spans="1:13" x14ac:dyDescent="0.3">
      <c r="A22" t="s">
        <v>20</v>
      </c>
      <c r="B22" s="3">
        <f xml:space="preserve"> B10 - '+0.0 seg'!$B$10</f>
        <v>6.0000000000000053E-3</v>
      </c>
      <c r="C22" s="3">
        <f xml:space="preserve"> C10 - '+0.0 seg'!$C$10</f>
        <v>1.4000000000000012E-2</v>
      </c>
      <c r="D22" s="3">
        <f xml:space="preserve"> D10 - '+0.0 seg'!$D$10</f>
        <v>-1.0000000000000009E-3</v>
      </c>
      <c r="E22" s="3">
        <f xml:space="preserve"> E10 - '+0.0 seg'!$E$10</f>
        <v>-1.0000000000000009E-3</v>
      </c>
      <c r="F22" s="3">
        <f xml:space="preserve"> F10 - '+0.0 seg'!$F$10</f>
        <v>1.1999999999999983E-2</v>
      </c>
      <c r="G22" s="3">
        <f xml:space="preserve"> G10 - '+0.0 seg'!$G$10</f>
        <v>3.0000000000000027E-3</v>
      </c>
      <c r="H22" s="3">
        <f xml:space="preserve"> H10 - '+0.0 seg'!$H$10</f>
        <v>1.0000000000000009E-3</v>
      </c>
      <c r="I22" s="3">
        <f xml:space="preserve"> I10 - '+0.0 seg'!$I$10</f>
        <v>1.0000000000000009E-3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1.0000000000000009E-3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9.9999999999999395E-4</v>
      </c>
      <c r="C26" s="3">
        <f>STDEV(B15:C15)</f>
        <v>9.8130778667735948E-18</v>
      </c>
      <c r="D26" s="3">
        <f t="shared" ref="D26:J26" si="0">AVERAGE(D15:E15)</f>
        <v>3.5000000000000031E-3</v>
      </c>
      <c r="E26" s="3">
        <f>STDEV(D15:E15)</f>
        <v>7.0710678118654816E-4</v>
      </c>
      <c r="F26" s="3">
        <f t="shared" si="0"/>
        <v>-1.0000000000000009E-3</v>
      </c>
      <c r="G26" s="3">
        <f>STDEV(F15:G15)</f>
        <v>4.2426406871192892E-3</v>
      </c>
      <c r="H26" s="3">
        <f t="shared" si="0"/>
        <v>0</v>
      </c>
      <c r="I26" s="3">
        <f>STDEV(H15:I15)</f>
        <v>0</v>
      </c>
      <c r="J26" s="3">
        <f t="shared" si="0"/>
        <v>-2.4999999999999953E-3</v>
      </c>
      <c r="K26" s="3">
        <f>STDEV(J15:K15)</f>
        <v>2.1213203435596442E-3</v>
      </c>
      <c r="L26" s="3">
        <f t="shared" ref="L26:M26" si="1">AVERAGE(L15:M15)</f>
        <v>0</v>
      </c>
      <c r="M26" s="3">
        <f>STDEV(L15:M15)</f>
        <v>0</v>
      </c>
    </row>
    <row r="27" spans="1:13" x14ac:dyDescent="0.3">
      <c r="A27" t="s">
        <v>14</v>
      </c>
      <c r="B27" s="3">
        <f t="shared" ref="B27:B33" si="2">AVERAGE(B16:C16)</f>
        <v>9.9999999999998701E-4</v>
      </c>
      <c r="C27" s="3">
        <f t="shared" ref="C27:E33" si="3">STDEV(B16:C16)</f>
        <v>1.962615573354719E-17</v>
      </c>
      <c r="D27" s="3">
        <f t="shared" ref="D27" si="4">AVERAGE(D16:E16)</f>
        <v>2.9999999999999957E-3</v>
      </c>
      <c r="E27" s="3">
        <f t="shared" si="3"/>
        <v>9.8130778667735948E-18</v>
      </c>
      <c r="F27" s="3">
        <f t="shared" ref="F27" si="5">AVERAGE(F16:G16)</f>
        <v>3.0000000000000027E-3</v>
      </c>
      <c r="G27" s="3">
        <f t="shared" ref="G27" si="6">STDEV(F16:G16)</f>
        <v>1.4142135623730963E-3</v>
      </c>
      <c r="H27" s="3">
        <f t="shared" ref="H27" si="7">AVERAGE(H16:I16)</f>
        <v>4.0000000000000036E-3</v>
      </c>
      <c r="I27" s="3">
        <f t="shared" ref="I27" si="8">STDEV(H16:I16)</f>
        <v>1.4142135623730963E-3</v>
      </c>
      <c r="J27" s="3">
        <f t="shared" ref="J27:L27" si="9">AVERAGE(J16:K16)</f>
        <v>0</v>
      </c>
      <c r="K27" s="3">
        <f t="shared" ref="K27" si="10">STDEV(J16:K16)</f>
        <v>1.4142135623730963E-3</v>
      </c>
      <c r="L27" s="3">
        <f t="shared" si="9"/>
        <v>-5.0000000000000044E-4</v>
      </c>
      <c r="M27" s="3">
        <f t="shared" ref="M27:M33" si="11">STDEV(L16:M16)</f>
        <v>7.0710678118654816E-4</v>
      </c>
    </row>
    <row r="28" spans="1:13" x14ac:dyDescent="0.3">
      <c r="A28" t="s">
        <v>15</v>
      </c>
      <c r="B28" s="3">
        <f t="shared" si="2"/>
        <v>2.5000000000000022E-3</v>
      </c>
      <c r="C28" s="3">
        <f t="shared" si="3"/>
        <v>2.1213203435596446E-3</v>
      </c>
      <c r="D28" s="3">
        <f t="shared" ref="D28" si="12">AVERAGE(D17:E17)</f>
        <v>2.0000000000000018E-3</v>
      </c>
      <c r="E28" s="3">
        <f t="shared" si="3"/>
        <v>2.8284271247461927E-3</v>
      </c>
      <c r="F28" s="3">
        <f t="shared" ref="F28" si="13">AVERAGE(F17:G17)</f>
        <v>-3.0000000000000096E-3</v>
      </c>
      <c r="G28" s="3">
        <f t="shared" ref="G28" si="14">STDEV(F17:G17)</f>
        <v>5.6568542494923758E-3</v>
      </c>
      <c r="H28" s="3">
        <f t="shared" ref="H28" si="15">AVERAGE(H17:I17)</f>
        <v>-1.0000000000000009E-3</v>
      </c>
      <c r="I28" s="3">
        <f t="shared" ref="I28" si="16">STDEV(H17:I17)</f>
        <v>5.6568542494923853E-3</v>
      </c>
      <c r="J28" s="3">
        <f t="shared" ref="J28:L28" si="17">AVERAGE(J17:K17)</f>
        <v>-5.0000000000000044E-4</v>
      </c>
      <c r="K28" s="3">
        <f t="shared" ref="K28" si="18">STDEV(J17:K17)</f>
        <v>7.0710678118654816E-4</v>
      </c>
      <c r="L28" s="3">
        <f t="shared" si="17"/>
        <v>0</v>
      </c>
      <c r="M28" s="3">
        <f t="shared" si="11"/>
        <v>0</v>
      </c>
    </row>
    <row r="29" spans="1:13" x14ac:dyDescent="0.3">
      <c r="A29" t="s">
        <v>16</v>
      </c>
      <c r="B29" s="3">
        <f t="shared" si="2"/>
        <v>2.4999999999999883E-3</v>
      </c>
      <c r="C29" s="3">
        <f t="shared" si="3"/>
        <v>7.0710678118652854E-4</v>
      </c>
      <c r="D29" s="3">
        <f t="shared" ref="D29" si="19">AVERAGE(D18:E18)</f>
        <v>5.0000000000000044E-4</v>
      </c>
      <c r="E29" s="3">
        <f t="shared" si="3"/>
        <v>7.0710678118654816E-4</v>
      </c>
      <c r="F29" s="3">
        <f t="shared" ref="F29" si="20">AVERAGE(F18:G18)</f>
        <v>4.4999999999999832E-3</v>
      </c>
      <c r="G29" s="3">
        <f t="shared" ref="G29" si="21">STDEV(F18:G18)</f>
        <v>3.5355339059327307E-3</v>
      </c>
      <c r="H29" s="3">
        <f t="shared" ref="H29" si="22">AVERAGE(H18:I18)</f>
        <v>1.0000000000000009E-3</v>
      </c>
      <c r="I29" s="3">
        <f t="shared" ref="I29" si="23">STDEV(H18:I18)</f>
        <v>1.4142135623730963E-3</v>
      </c>
      <c r="J29" s="3">
        <f t="shared" ref="J29:L29" si="24">AVERAGE(J18:K18)</f>
        <v>0</v>
      </c>
      <c r="K29" s="3">
        <f t="shared" ref="K29" si="25">STDEV(J18:K18)</f>
        <v>0</v>
      </c>
      <c r="L29" s="3">
        <f t="shared" si="24"/>
        <v>0</v>
      </c>
      <c r="M29" s="3">
        <f t="shared" si="11"/>
        <v>0</v>
      </c>
    </row>
    <row r="30" spans="1:13" x14ac:dyDescent="0.3">
      <c r="A30" t="s">
        <v>17</v>
      </c>
      <c r="B30" s="3">
        <f t="shared" si="2"/>
        <v>5.0000000000000044E-4</v>
      </c>
      <c r="C30" s="3">
        <f t="shared" si="3"/>
        <v>2.1213203435596446E-3</v>
      </c>
      <c r="D30" s="3">
        <f t="shared" ref="D30" si="26">AVERAGE(D19:E19)</f>
        <v>2.0000000000000018E-3</v>
      </c>
      <c r="E30" s="3">
        <f t="shared" si="3"/>
        <v>0</v>
      </c>
      <c r="F30" s="3">
        <f t="shared" ref="F30" si="27">AVERAGE(F19:G19)</f>
        <v>5.0000000000000044E-3</v>
      </c>
      <c r="G30" s="3">
        <f t="shared" ref="G30" si="28">STDEV(F19:G19)</f>
        <v>1.4142135623730963E-3</v>
      </c>
      <c r="H30" s="3">
        <f t="shared" ref="H30" si="29">AVERAGE(H19:I19)</f>
        <v>5.0000000000000044E-4</v>
      </c>
      <c r="I30" s="3">
        <f t="shared" ref="I30" si="30">STDEV(H19:I19)</f>
        <v>6.3639610306789338E-3</v>
      </c>
      <c r="J30" s="3">
        <f t="shared" ref="J30:L30" si="31">AVERAGE(J19:K19)</f>
        <v>-5.0000000000000044E-4</v>
      </c>
      <c r="K30" s="3">
        <f t="shared" ref="K30" si="32">STDEV(J19:K19)</f>
        <v>7.0710678118654816E-4</v>
      </c>
      <c r="L30" s="3">
        <f t="shared" si="31"/>
        <v>5.0000000000000044E-3</v>
      </c>
      <c r="M30" s="3">
        <f t="shared" si="11"/>
        <v>7.0710678118654814E-3</v>
      </c>
    </row>
    <row r="31" spans="1:13" x14ac:dyDescent="0.3">
      <c r="A31" t="s">
        <v>18</v>
      </c>
      <c r="B31" s="3">
        <f t="shared" si="2"/>
        <v>2.9999999999999957E-3</v>
      </c>
      <c r="C31" s="3">
        <f t="shared" si="3"/>
        <v>2.8284271247461827E-3</v>
      </c>
      <c r="D31" s="3">
        <f t="shared" ref="D31" si="33">AVERAGE(D20:E20)</f>
        <v>-1.0000000000000009E-3</v>
      </c>
      <c r="E31" s="3">
        <f t="shared" si="3"/>
        <v>2.8284271247461927E-3</v>
      </c>
      <c r="F31" s="3">
        <f t="shared" ref="F31" si="34">AVERAGE(F20:G20)</f>
        <v>2.0000000000000018E-3</v>
      </c>
      <c r="G31" s="3">
        <f t="shared" ref="G31" si="35">STDEV(F20:G20)</f>
        <v>1.4142135623730961E-3</v>
      </c>
      <c r="H31" s="3">
        <f t="shared" ref="H31" si="36">AVERAGE(H20:I20)</f>
        <v>5.0000000000000391E-4</v>
      </c>
      <c r="I31" s="3">
        <f t="shared" ref="I31" si="37">STDEV(H20:I20)</f>
        <v>2.1213203435596394E-3</v>
      </c>
      <c r="J31" s="3">
        <f t="shared" ref="J31:L31" si="38">AVERAGE(J20:K20)</f>
        <v>-4.9999999999999697E-4</v>
      </c>
      <c r="K31" s="3">
        <f t="shared" ref="K31" si="39">STDEV(J20:K20)</f>
        <v>7.0710678118654328E-4</v>
      </c>
      <c r="L31" s="3">
        <f t="shared" si="38"/>
        <v>1.0000000000000009E-3</v>
      </c>
      <c r="M31" s="3">
        <f t="shared" si="11"/>
        <v>0</v>
      </c>
    </row>
    <row r="32" spans="1:13" x14ac:dyDescent="0.3">
      <c r="A32" t="s">
        <v>19</v>
      </c>
      <c r="B32" s="3">
        <f t="shared" si="2"/>
        <v>3.0000000000000027E-3</v>
      </c>
      <c r="C32" s="3">
        <f t="shared" si="3"/>
        <v>1.4142135623730963E-3</v>
      </c>
      <c r="D32" s="3">
        <f t="shared" ref="D32" si="40">AVERAGE(D21:E21)</f>
        <v>1.4999999999999944E-3</v>
      </c>
      <c r="E32" s="3">
        <f t="shared" si="3"/>
        <v>7.0710678118653841E-4</v>
      </c>
      <c r="F32" s="3">
        <f t="shared" ref="F32" si="41">AVERAGE(F21:G21)</f>
        <v>2.9999999999999888E-3</v>
      </c>
      <c r="G32" s="3">
        <f t="shared" ref="G32" si="42">STDEV(F21:G21)</f>
        <v>1.4142135623730963E-3</v>
      </c>
      <c r="H32" s="3">
        <f t="shared" ref="H32" si="43">AVERAGE(H21:I21)</f>
        <v>9.9999999999999395E-4</v>
      </c>
      <c r="I32" s="3">
        <f t="shared" ref="I32" si="44">STDEV(H21:I21)</f>
        <v>9.8130778667735948E-18</v>
      </c>
      <c r="J32" s="3">
        <f t="shared" ref="J32:L32" si="45">AVERAGE(J21:K21)</f>
        <v>5.0000000000000044E-4</v>
      </c>
      <c r="K32" s="3">
        <f t="shared" ref="K32" si="46">STDEV(J21:K21)</f>
        <v>7.0710678118654816E-4</v>
      </c>
      <c r="L32" s="3">
        <f t="shared" si="45"/>
        <v>0</v>
      </c>
      <c r="M32" s="3">
        <f t="shared" si="11"/>
        <v>0</v>
      </c>
    </row>
    <row r="33" spans="1:13" x14ac:dyDescent="0.3">
      <c r="A33" t="s">
        <v>20</v>
      </c>
      <c r="B33" s="3">
        <f t="shared" si="2"/>
        <v>1.0000000000000009E-2</v>
      </c>
      <c r="C33" s="3">
        <f t="shared" si="3"/>
        <v>5.6568542494923844E-3</v>
      </c>
      <c r="D33" s="3">
        <f t="shared" ref="D33" si="47">AVERAGE(D22:E22)</f>
        <v>-1.0000000000000009E-3</v>
      </c>
      <c r="E33" s="3">
        <f t="shared" si="3"/>
        <v>0</v>
      </c>
      <c r="F33" s="3">
        <f t="shared" ref="F33" si="48">AVERAGE(F22:G22)</f>
        <v>7.4999999999999928E-3</v>
      </c>
      <c r="G33" s="3">
        <f t="shared" ref="G33" si="49">STDEV(F22:G22)</f>
        <v>6.3639610306789138E-3</v>
      </c>
      <c r="H33" s="3">
        <f t="shared" ref="H33" si="50">AVERAGE(H22:I22)</f>
        <v>1.0000000000000009E-3</v>
      </c>
      <c r="I33" s="3">
        <f t="shared" ref="I33" si="51">STDEV(H22:I22)</f>
        <v>0</v>
      </c>
      <c r="J33" s="3">
        <f t="shared" ref="J33:L33" si="52">AVERAGE(J22:K22)</f>
        <v>0</v>
      </c>
      <c r="K33" s="3">
        <f t="shared" ref="K33" si="53">STDEV(J22:K22)</f>
        <v>0</v>
      </c>
      <c r="L33" s="3">
        <f t="shared" si="52"/>
        <v>5.0000000000000044E-4</v>
      </c>
      <c r="M33" s="3">
        <f t="shared" si="11"/>
        <v>7.0710678118654816E-4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workbookViewId="0">
      <selection activeCell="A25" sqref="A25:M33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0.10100000000000001</v>
      </c>
      <c r="C3">
        <v>8.5999999999999993E-2</v>
      </c>
      <c r="D3">
        <v>7.5999999999999998E-2</v>
      </c>
      <c r="E3">
        <v>8.6999999999999994E-2</v>
      </c>
      <c r="F3">
        <v>0.14399999999999999</v>
      </c>
      <c r="G3">
        <v>0.11799999999999999</v>
      </c>
      <c r="H3">
        <v>8.3000000000000004E-2</v>
      </c>
      <c r="I3">
        <v>6.2E-2</v>
      </c>
      <c r="J3">
        <v>5.3999999999999999E-2</v>
      </c>
      <c r="K3">
        <v>4.8000000000000001E-2</v>
      </c>
      <c r="L3">
        <v>0.12</v>
      </c>
      <c r="M3">
        <v>9.1999999999999998E-2</v>
      </c>
    </row>
    <row r="4" spans="1:13" x14ac:dyDescent="0.3">
      <c r="A4" t="s">
        <v>14</v>
      </c>
      <c r="B4">
        <v>0.129</v>
      </c>
      <c r="C4">
        <v>0.14099999999999999</v>
      </c>
      <c r="D4">
        <v>0.08</v>
      </c>
      <c r="E4">
        <v>8.7999999999999995E-2</v>
      </c>
      <c r="F4">
        <v>0.151</v>
      </c>
      <c r="G4">
        <v>0.13</v>
      </c>
      <c r="H4">
        <v>9.7000000000000003E-2</v>
      </c>
      <c r="I4">
        <v>9.5000000000000001E-2</v>
      </c>
      <c r="J4">
        <v>6.0999999999999999E-2</v>
      </c>
      <c r="K4">
        <v>5.2999999999999999E-2</v>
      </c>
      <c r="L4">
        <v>9.2999999999999999E-2</v>
      </c>
      <c r="M4">
        <v>0.111</v>
      </c>
    </row>
    <row r="5" spans="1:13" x14ac:dyDescent="0.3">
      <c r="A5" t="s">
        <v>15</v>
      </c>
      <c r="B5">
        <v>0.14199999999999999</v>
      </c>
      <c r="C5">
        <v>0.14699999999999999</v>
      </c>
      <c r="D5">
        <v>8.4000000000000005E-2</v>
      </c>
      <c r="E5">
        <v>0.08</v>
      </c>
      <c r="F5">
        <v>0.10299999999999999</v>
      </c>
      <c r="G5">
        <v>0.109</v>
      </c>
      <c r="H5">
        <v>7.8E-2</v>
      </c>
      <c r="I5">
        <v>6.4000000000000001E-2</v>
      </c>
      <c r="J5">
        <v>9.4E-2</v>
      </c>
      <c r="K5">
        <v>0.11799999999999999</v>
      </c>
      <c r="L5">
        <v>0.114</v>
      </c>
      <c r="M5">
        <v>0.107</v>
      </c>
    </row>
    <row r="6" spans="1:13" x14ac:dyDescent="0.3">
      <c r="A6" t="s">
        <v>16</v>
      </c>
      <c r="B6">
        <v>0.17399999999999999</v>
      </c>
      <c r="C6">
        <v>0.188</v>
      </c>
      <c r="D6">
        <v>8.3000000000000004E-2</v>
      </c>
      <c r="E6">
        <v>9.1999999999999998E-2</v>
      </c>
      <c r="F6">
        <v>0.12</v>
      </c>
      <c r="G6">
        <v>0.20799999999999999</v>
      </c>
      <c r="H6">
        <v>7.0999999999999994E-2</v>
      </c>
      <c r="I6">
        <v>0.109</v>
      </c>
      <c r="J6">
        <v>8.3000000000000004E-2</v>
      </c>
      <c r="K6">
        <v>8.4000000000000005E-2</v>
      </c>
      <c r="L6">
        <v>0.10100000000000001</v>
      </c>
      <c r="M6">
        <v>9.7000000000000003E-2</v>
      </c>
    </row>
    <row r="7" spans="1:13" x14ac:dyDescent="0.3">
      <c r="A7" t="s">
        <v>17</v>
      </c>
      <c r="B7">
        <v>0.13600000000000001</v>
      </c>
      <c r="C7">
        <v>0.151</v>
      </c>
      <c r="D7">
        <v>8.3000000000000004E-2</v>
      </c>
      <c r="E7">
        <v>9.0999999999999998E-2</v>
      </c>
      <c r="F7">
        <v>0.11700000000000001</v>
      </c>
      <c r="G7">
        <v>0.111</v>
      </c>
      <c r="H7">
        <v>0.10100000000000001</v>
      </c>
      <c r="I7">
        <v>8.1000000000000003E-2</v>
      </c>
      <c r="J7">
        <v>6.9000000000000006E-2</v>
      </c>
      <c r="K7">
        <v>6.9000000000000006E-2</v>
      </c>
      <c r="L7">
        <v>0.65100000000000002</v>
      </c>
      <c r="M7">
        <v>9.7000000000000003E-2</v>
      </c>
    </row>
    <row r="8" spans="1:13" x14ac:dyDescent="0.3">
      <c r="A8" t="s">
        <v>18</v>
      </c>
      <c r="B8">
        <v>0.121</v>
      </c>
      <c r="C8">
        <v>9.2999999999999999E-2</v>
      </c>
      <c r="D8">
        <v>7.5999999999999998E-2</v>
      </c>
      <c r="E8">
        <v>7.5999999999999998E-2</v>
      </c>
      <c r="F8">
        <v>0.1</v>
      </c>
      <c r="G8">
        <v>8.1000000000000003E-2</v>
      </c>
      <c r="H8">
        <v>0.08</v>
      </c>
      <c r="I8">
        <v>5.8000000000000003E-2</v>
      </c>
      <c r="J8">
        <v>0.05</v>
      </c>
      <c r="K8">
        <v>6.0999999999999999E-2</v>
      </c>
      <c r="L8">
        <v>0.36699999999999999</v>
      </c>
      <c r="M8">
        <v>9.7000000000000003E-2</v>
      </c>
    </row>
    <row r="9" spans="1:13" x14ac:dyDescent="0.3">
      <c r="A9" t="s">
        <v>19</v>
      </c>
      <c r="B9">
        <v>0.154</v>
      </c>
      <c r="C9">
        <v>0.16700000000000001</v>
      </c>
      <c r="D9">
        <v>0.10299999999999999</v>
      </c>
      <c r="E9">
        <v>0.107</v>
      </c>
      <c r="F9">
        <v>0.11899999999999999</v>
      </c>
      <c r="G9">
        <v>0.10299999999999999</v>
      </c>
      <c r="H9">
        <v>7.0999999999999994E-2</v>
      </c>
      <c r="I9">
        <v>7.4999999999999997E-2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3">
      <c r="A10" t="s">
        <v>20</v>
      </c>
      <c r="B10">
        <v>0.21</v>
      </c>
      <c r="C10">
        <v>0.219</v>
      </c>
      <c r="D10">
        <v>0.104</v>
      </c>
      <c r="E10">
        <v>0.111</v>
      </c>
      <c r="F10">
        <v>0.24099999999999999</v>
      </c>
      <c r="G10">
        <v>0.16400000000000001</v>
      </c>
      <c r="H10">
        <v>9.8000000000000004E-2</v>
      </c>
      <c r="I10">
        <v>9.2999999999999999E-2</v>
      </c>
      <c r="J10">
        <v>9.6000000000000002E-2</v>
      </c>
      <c r="K10">
        <v>0.125</v>
      </c>
      <c r="L10">
        <v>0.125</v>
      </c>
      <c r="M10">
        <v>9.6000000000000002E-2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3.0000000000000027E-3</v>
      </c>
      <c r="C15" s="3">
        <f xml:space="preserve"> C3 - '+0.0 seg'!$C$3</f>
        <v>9.9999999999998701E-4</v>
      </c>
      <c r="D15" s="3">
        <f xml:space="preserve"> D3 - '+0.0 seg'!$D$3</f>
        <v>3.0000000000000027E-3</v>
      </c>
      <c r="E15" s="3">
        <f xml:space="preserve"> E3 - '+0.0 seg'!$E$3</f>
        <v>0</v>
      </c>
      <c r="F15" s="3">
        <f xml:space="preserve"> F3 - '+0.0 seg'!$F$3</f>
        <v>-3.0000000000000027E-3</v>
      </c>
      <c r="G15" s="3">
        <f xml:space="preserve"> G3 - '+0.0 seg'!$G$3</f>
        <v>2.9999999999999888E-3</v>
      </c>
      <c r="H15" s="3">
        <f xml:space="preserve"> H3 - '+0.0 seg'!$H$3</f>
        <v>0</v>
      </c>
      <c r="I15" s="3">
        <f xml:space="preserve"> I3 - '+0.0 seg'!$I$3</f>
        <v>1.0000000000000009E-3</v>
      </c>
      <c r="J15" s="3">
        <f xml:space="preserve"> J3 - '+0.0 seg'!$J$3</f>
        <v>3.0000000000000027E-3</v>
      </c>
      <c r="K15" s="3">
        <f xml:space="preserve"> K3 - '+0.0 seg'!$K$3</f>
        <v>-3.9999999999999966E-3</v>
      </c>
      <c r="L15" s="3">
        <f xml:space="preserve"> L3 - '+0.0 seg'!$L$3</f>
        <v>0</v>
      </c>
      <c r="M15" s="3">
        <f xml:space="preserve"> M3 - '+0.0 seg'!$M$3</f>
        <v>0</v>
      </c>
    </row>
    <row r="16" spans="1:13" x14ac:dyDescent="0.3">
      <c r="A16" t="s">
        <v>14</v>
      </c>
      <c r="B16" s="3">
        <f xml:space="preserve"> B4 - '+0.0 seg'!$B$4</f>
        <v>1.0000000000000009E-3</v>
      </c>
      <c r="C16" s="3">
        <f xml:space="preserve"> C4 - '+0.0 seg'!$C$4</f>
        <v>9.9999999999997313E-4</v>
      </c>
      <c r="D16" s="3">
        <f xml:space="preserve"> D4 - '+0.0 seg'!$D$4</f>
        <v>4.0000000000000036E-3</v>
      </c>
      <c r="E16" s="3">
        <f xml:space="preserve"> E4 - '+0.0 seg'!$E$4</f>
        <v>3.9999999999999897E-3</v>
      </c>
      <c r="F16" s="3">
        <f xml:space="preserve"> F4 - '+0.0 seg'!$F$4</f>
        <v>5.0000000000000044E-3</v>
      </c>
      <c r="G16" s="3">
        <f xml:space="preserve"> G4 - '+0.0 seg'!$G$4</f>
        <v>3.0000000000000027E-3</v>
      </c>
      <c r="H16" s="3">
        <f xml:space="preserve"> H4 - '+0.0 seg'!$H$4</f>
        <v>6.0000000000000053E-3</v>
      </c>
      <c r="I16" s="3">
        <f xml:space="preserve"> I4 - '+0.0 seg'!$I$4</f>
        <v>3.0000000000000027E-3</v>
      </c>
      <c r="J16" s="3">
        <f xml:space="preserve"> J4 - '+0.0 seg'!$J$4</f>
        <v>-1.0000000000000009E-3</v>
      </c>
      <c r="K16" s="3">
        <f xml:space="preserve"> K4 - '+0.0 seg'!$K$4</f>
        <v>1.0000000000000009E-3</v>
      </c>
      <c r="L16" s="3">
        <f xml:space="preserve"> L4 - '+0.0 seg'!$L$4</f>
        <v>-1.0000000000000009E-3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1.0000000000000009E-3</v>
      </c>
      <c r="C17" s="3">
        <f xml:space="preserve"> C5 - '+0.0 seg'!$C$5</f>
        <v>5.0000000000000044E-3</v>
      </c>
      <c r="D17" s="3">
        <f xml:space="preserve"> D5 - '+0.0 seg'!$D$5</f>
        <v>4.0000000000000036E-3</v>
      </c>
      <c r="E17" s="3">
        <f xml:space="preserve"> E5 - '+0.0 seg'!$E$5</f>
        <v>0</v>
      </c>
      <c r="F17" s="3">
        <f xml:space="preserve"> F5 - '+0.0 seg'!$F$5</f>
        <v>1.9999999999999879E-3</v>
      </c>
      <c r="G17" s="3">
        <f xml:space="preserve"> G5 - '+0.0 seg'!$G$5</f>
        <v>-7.0000000000000062E-3</v>
      </c>
      <c r="H17" s="3">
        <f xml:space="preserve"> H5 - '+0.0 seg'!$H$5</f>
        <v>3.0000000000000027E-3</v>
      </c>
      <c r="I17" s="3">
        <f xml:space="preserve"> I5 - '+0.0 seg'!$I$5</f>
        <v>-5.0000000000000044E-3</v>
      </c>
      <c r="J17" s="3">
        <f xml:space="preserve"> J5 - '+0.0 seg'!$J$5</f>
        <v>0</v>
      </c>
      <c r="K17" s="3">
        <f xml:space="preserve"> K5 - '+0.0 seg'!$K$5</f>
        <v>0</v>
      </c>
      <c r="L17" s="3">
        <f xml:space="preserve"> L5 - '+0.0 seg'!$L$5</f>
        <v>0</v>
      </c>
      <c r="M17" s="3">
        <f xml:space="preserve"> M5 - '+0.0 seg'!$M$5</f>
        <v>0</v>
      </c>
    </row>
    <row r="18" spans="1:13" x14ac:dyDescent="0.3">
      <c r="A18" t="s">
        <v>16</v>
      </c>
      <c r="B18" s="3">
        <f xml:space="preserve"> B6 - '+0.0 seg'!$B$6</f>
        <v>2.9999999999999749E-3</v>
      </c>
      <c r="C18" s="3">
        <f xml:space="preserve"> C6 - '+0.0 seg'!$C$6</f>
        <v>4.0000000000000036E-3</v>
      </c>
      <c r="D18" s="3">
        <f xml:space="preserve"> D6 - '+0.0 seg'!$D$6</f>
        <v>1.0000000000000009E-3</v>
      </c>
      <c r="E18" s="3">
        <f xml:space="preserve"> E6 - '+0.0 seg'!$E$6</f>
        <v>1.0000000000000009E-3</v>
      </c>
      <c r="F18" s="3">
        <f xml:space="preserve"> F6 - '+0.0 seg'!$F$6</f>
        <v>2.9999999999999888E-3</v>
      </c>
      <c r="G18" s="3">
        <f xml:space="preserve"> G6 - '+0.0 seg'!$G$6</f>
        <v>8.9999999999999802E-3</v>
      </c>
      <c r="H18" s="3">
        <f xml:space="preserve"> H6 - '+0.0 seg'!$H$6</f>
        <v>2.9999999999999888E-3</v>
      </c>
      <c r="I18" s="3">
        <f xml:space="preserve"> I6 - '+0.0 seg'!$I$6</f>
        <v>0</v>
      </c>
      <c r="J18" s="3">
        <f xml:space="preserve"> J6 - '+0.0 seg'!$J$6</f>
        <v>0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0</v>
      </c>
    </row>
    <row r="19" spans="1:13" x14ac:dyDescent="0.3">
      <c r="A19" t="s">
        <v>17</v>
      </c>
      <c r="B19" s="3">
        <f xml:space="preserve"> B7 - '+0.0 seg'!$B$7</f>
        <v>2.0000000000000018E-3</v>
      </c>
      <c r="C19" s="3">
        <f xml:space="preserve"> C7 - '+0.0 seg'!$C$7</f>
        <v>0</v>
      </c>
      <c r="D19" s="3">
        <f xml:space="preserve"> D7 - '+0.0 seg'!$D$7</f>
        <v>3.0000000000000027E-3</v>
      </c>
      <c r="E19" s="3">
        <f xml:space="preserve"> E7 - '+0.0 seg'!$E$7</f>
        <v>3.0000000000000027E-3</v>
      </c>
      <c r="F19" s="3">
        <f xml:space="preserve"> F7 - '+0.0 seg'!$F$7</f>
        <v>5.0000000000000044E-3</v>
      </c>
      <c r="G19" s="3">
        <f xml:space="preserve"> G7 - '+0.0 seg'!$G$7</f>
        <v>8.0000000000000071E-3</v>
      </c>
      <c r="H19" s="3">
        <f xml:space="preserve"> H7 - '+0.0 seg'!$H$7</f>
        <v>7.0000000000000062E-3</v>
      </c>
      <c r="I19" s="3">
        <f xml:space="preserve"> I7 - '+0.0 seg'!$I$7</f>
        <v>-3.0000000000000027E-3</v>
      </c>
      <c r="J19" s="3">
        <f xml:space="preserve"> J7 - '+0.0 seg'!$J$7</f>
        <v>0</v>
      </c>
      <c r="K19" s="3">
        <f xml:space="preserve"> K7 - '+0.0 seg'!$K$7</f>
        <v>0</v>
      </c>
      <c r="L19" s="3">
        <f xml:space="preserve"> L7 - '+0.0 seg'!$L$7</f>
        <v>8.0000000000000071E-3</v>
      </c>
      <c r="M19" s="3">
        <f xml:space="preserve"> M7 - '+0.0 seg'!$M$7</f>
        <v>0</v>
      </c>
    </row>
    <row r="20" spans="1:13" x14ac:dyDescent="0.3">
      <c r="A20" t="s">
        <v>18</v>
      </c>
      <c r="B20" s="3">
        <f xml:space="preserve"> B8 - '+0.0 seg'!$B$8</f>
        <v>4.9999999999999906E-3</v>
      </c>
      <c r="C20" s="3">
        <f xml:space="preserve"> C8 - '+0.0 seg'!$C$8</f>
        <v>2.0000000000000018E-3</v>
      </c>
      <c r="D20" s="3">
        <f xml:space="preserve"> D8 - '+0.0 seg'!$D$8</f>
        <v>-3.0000000000000027E-3</v>
      </c>
      <c r="E20" s="3">
        <f xml:space="preserve"> E8 - '+0.0 seg'!$E$8</f>
        <v>1.0000000000000009E-3</v>
      </c>
      <c r="F20" s="3">
        <f xml:space="preserve"> F8 - '+0.0 seg'!$F$8</f>
        <v>4.0000000000000036E-3</v>
      </c>
      <c r="G20" s="3">
        <f xml:space="preserve"> G8 - '+0.0 seg'!$G$8</f>
        <v>2.0000000000000018E-3</v>
      </c>
      <c r="H20" s="3">
        <f xml:space="preserve"> H8 - '+0.0 seg'!$H$8</f>
        <v>4.0000000000000036E-3</v>
      </c>
      <c r="I20" s="3">
        <f xml:space="preserve"> I8 - '+0.0 seg'!$I$8</f>
        <v>-9.9999999999999395E-4</v>
      </c>
      <c r="J20" s="3">
        <f xml:space="preserve"> J8 - '+0.0 seg'!$J$8</f>
        <v>-9.9999999999999395E-4</v>
      </c>
      <c r="K20" s="3">
        <f xml:space="preserve"> K8 - '+0.0 seg'!$K$8</f>
        <v>-1.0000000000000009E-3</v>
      </c>
      <c r="L20" s="3">
        <f xml:space="preserve"> L8 - '+0.0 seg'!$L$8</f>
        <v>-2.0000000000000018E-3</v>
      </c>
      <c r="M20" s="3">
        <f xml:space="preserve"> M8 - '+0.0 seg'!$M$8</f>
        <v>0</v>
      </c>
    </row>
    <row r="21" spans="1:13" x14ac:dyDescent="0.3">
      <c r="A21" t="s">
        <v>19</v>
      </c>
      <c r="B21" s="3">
        <f xml:space="preserve"> B9 - '+0.0 seg'!$B$9</f>
        <v>3.0000000000000027E-3</v>
      </c>
      <c r="C21" s="3">
        <f xml:space="preserve"> C9 - '+0.0 seg'!$C$9</f>
        <v>5.0000000000000044E-3</v>
      </c>
      <c r="D21" s="3">
        <f xml:space="preserve"> D9 - '+0.0 seg'!$D$9</f>
        <v>2.9999999999999888E-3</v>
      </c>
      <c r="E21" s="3">
        <f xml:space="preserve"> E9 - '+0.0 seg'!$E$9</f>
        <v>2.0000000000000018E-3</v>
      </c>
      <c r="F21" s="3">
        <f xml:space="preserve"> F9 - '+0.0 seg'!$F$9</f>
        <v>2.9999999999999888E-3</v>
      </c>
      <c r="G21" s="3">
        <f xml:space="preserve"> G9 - '+0.0 seg'!$G$9</f>
        <v>4.9999999999999906E-3</v>
      </c>
      <c r="H21" s="3">
        <f xml:space="preserve"> H9 - '+0.0 seg'!$H$9</f>
        <v>9.9999999999998701E-4</v>
      </c>
      <c r="I21" s="3">
        <f xml:space="preserve"> I9 - '+0.0 seg'!$I$9</f>
        <v>1.0000000000000009E-3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</row>
    <row r="22" spans="1:13" x14ac:dyDescent="0.3">
      <c r="A22" t="s">
        <v>20</v>
      </c>
      <c r="B22" s="3">
        <f xml:space="preserve"> B10 - '+0.0 seg'!$B$10</f>
        <v>-9.000000000000008E-3</v>
      </c>
      <c r="C22" s="3">
        <f xml:space="preserve"> C10 - '+0.0 seg'!$C$10</f>
        <v>1.4000000000000012E-2</v>
      </c>
      <c r="D22" s="3">
        <f xml:space="preserve"> D10 - '+0.0 seg'!$D$10</f>
        <v>-1.0000000000000009E-3</v>
      </c>
      <c r="E22" s="3">
        <f xml:space="preserve"> E10 - '+0.0 seg'!$E$10</f>
        <v>-1.0000000000000009E-3</v>
      </c>
      <c r="F22" s="3">
        <f xml:space="preserve"> F10 - '+0.0 seg'!$F$10</f>
        <v>1.4999999999999986E-2</v>
      </c>
      <c r="G22" s="3">
        <f xml:space="preserve"> G10 - '+0.0 seg'!$G$10</f>
        <v>5.0000000000000044E-3</v>
      </c>
      <c r="H22" s="3">
        <f xml:space="preserve"> H10 - '+0.0 seg'!$H$10</f>
        <v>1.0000000000000009E-3</v>
      </c>
      <c r="I22" s="3">
        <f xml:space="preserve"> I10 - '+0.0 seg'!$I$10</f>
        <v>1.0000000000000009E-3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0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1.9999999999999948E-3</v>
      </c>
      <c r="C26" s="3">
        <f>STDEV(B15:C15)</f>
        <v>1.4142135623731057E-3</v>
      </c>
      <c r="D26" s="3">
        <f t="shared" ref="D26:L33" si="0">AVERAGE(D15:E15)</f>
        <v>1.5000000000000013E-3</v>
      </c>
      <c r="E26" s="3">
        <f>STDEV(D15:E15)</f>
        <v>2.1213203435596446E-3</v>
      </c>
      <c r="F26" s="3">
        <f t="shared" si="0"/>
        <v>-6.9388939039072284E-18</v>
      </c>
      <c r="G26" s="3">
        <f>STDEV(F15:G15)</f>
        <v>4.2426406871192788E-3</v>
      </c>
      <c r="H26" s="3">
        <f t="shared" si="0"/>
        <v>5.0000000000000044E-4</v>
      </c>
      <c r="I26" s="3">
        <f>STDEV(H15:I15)</f>
        <v>7.0710678118654816E-4</v>
      </c>
      <c r="J26" s="3">
        <f t="shared" si="0"/>
        <v>-4.9999999999999697E-4</v>
      </c>
      <c r="K26" s="3">
        <f>STDEV(J15:K15)</f>
        <v>4.9497474683058316E-3</v>
      </c>
      <c r="L26" s="3">
        <f t="shared" ref="L26:M26" si="1">AVERAGE(L15:M15)</f>
        <v>0</v>
      </c>
      <c r="M26" s="3">
        <f>STDEV(L15:M15)</f>
        <v>0</v>
      </c>
    </row>
    <row r="27" spans="1:13" x14ac:dyDescent="0.3">
      <c r="A27" t="s">
        <v>14</v>
      </c>
      <c r="B27" s="3">
        <f t="shared" ref="B27:B33" si="2">AVERAGE(B16:C16)</f>
        <v>9.9999999999998701E-4</v>
      </c>
      <c r="C27" s="3">
        <f t="shared" ref="C27:E33" si="3">STDEV(B16:C16)</f>
        <v>1.962615573354719E-17</v>
      </c>
      <c r="D27" s="3">
        <f t="shared" si="0"/>
        <v>3.9999999999999966E-3</v>
      </c>
      <c r="E27" s="3">
        <f t="shared" si="3"/>
        <v>9.8130778667735948E-18</v>
      </c>
      <c r="F27" s="3">
        <f t="shared" si="0"/>
        <v>4.0000000000000036E-3</v>
      </c>
      <c r="G27" s="3">
        <f t="shared" ref="G27:G33" si="4">STDEV(F16:G16)</f>
        <v>1.4142135623730963E-3</v>
      </c>
      <c r="H27" s="3">
        <f t="shared" si="0"/>
        <v>4.500000000000004E-3</v>
      </c>
      <c r="I27" s="3">
        <f t="shared" ref="I27:I33" si="5">STDEV(H16:I16)</f>
        <v>2.1213203435596446E-3</v>
      </c>
      <c r="J27" s="3">
        <f t="shared" si="0"/>
        <v>0</v>
      </c>
      <c r="K27" s="3">
        <f t="shared" ref="K27:K33" si="6">STDEV(J16:K16)</f>
        <v>1.4142135623730963E-3</v>
      </c>
      <c r="L27" s="3">
        <f t="shared" si="0"/>
        <v>-5.0000000000000044E-4</v>
      </c>
      <c r="M27" s="3">
        <f t="shared" ref="M27:M33" si="7">STDEV(L16:M16)</f>
        <v>7.0710678118654816E-4</v>
      </c>
    </row>
    <row r="28" spans="1:13" x14ac:dyDescent="0.3">
      <c r="A28" t="s">
        <v>15</v>
      </c>
      <c r="B28" s="3">
        <f t="shared" si="2"/>
        <v>3.0000000000000027E-3</v>
      </c>
      <c r="C28" s="3">
        <f t="shared" si="3"/>
        <v>2.8284271247461927E-3</v>
      </c>
      <c r="D28" s="3">
        <f t="shared" si="0"/>
        <v>2.0000000000000018E-3</v>
      </c>
      <c r="E28" s="3">
        <f t="shared" si="3"/>
        <v>2.8284271247461927E-3</v>
      </c>
      <c r="F28" s="3">
        <f t="shared" si="0"/>
        <v>-2.5000000000000092E-3</v>
      </c>
      <c r="G28" s="3">
        <f t="shared" si="4"/>
        <v>6.3639610306789234E-3</v>
      </c>
      <c r="H28" s="3">
        <f t="shared" si="0"/>
        <v>-1.0000000000000009E-3</v>
      </c>
      <c r="I28" s="3">
        <f t="shared" si="5"/>
        <v>5.6568542494923853E-3</v>
      </c>
      <c r="J28" s="3">
        <f t="shared" si="0"/>
        <v>0</v>
      </c>
      <c r="K28" s="3">
        <f t="shared" si="6"/>
        <v>0</v>
      </c>
      <c r="L28" s="3">
        <f t="shared" si="0"/>
        <v>0</v>
      </c>
      <c r="M28" s="3">
        <f t="shared" si="7"/>
        <v>0</v>
      </c>
    </row>
    <row r="29" spans="1:13" x14ac:dyDescent="0.3">
      <c r="A29" t="s">
        <v>16</v>
      </c>
      <c r="B29" s="3">
        <f t="shared" si="2"/>
        <v>3.4999999999999892E-3</v>
      </c>
      <c r="C29" s="3">
        <f t="shared" si="3"/>
        <v>7.0710678118656779E-4</v>
      </c>
      <c r="D29" s="3">
        <f t="shared" si="0"/>
        <v>1.0000000000000009E-3</v>
      </c>
      <c r="E29" s="3">
        <f t="shared" si="3"/>
        <v>0</v>
      </c>
      <c r="F29" s="3">
        <f t="shared" si="0"/>
        <v>5.9999999999999845E-3</v>
      </c>
      <c r="G29" s="3">
        <f t="shared" si="4"/>
        <v>4.2426406871192788E-3</v>
      </c>
      <c r="H29" s="3">
        <f t="shared" si="0"/>
        <v>1.4999999999999944E-3</v>
      </c>
      <c r="I29" s="3">
        <f t="shared" si="5"/>
        <v>2.1213203435596346E-3</v>
      </c>
      <c r="J29" s="3">
        <f t="shared" si="0"/>
        <v>0</v>
      </c>
      <c r="K29" s="3">
        <f t="shared" si="6"/>
        <v>0</v>
      </c>
      <c r="L29" s="3">
        <f t="shared" si="0"/>
        <v>0</v>
      </c>
      <c r="M29" s="3">
        <f t="shared" si="7"/>
        <v>0</v>
      </c>
    </row>
    <row r="30" spans="1:13" x14ac:dyDescent="0.3">
      <c r="A30" t="s">
        <v>17</v>
      </c>
      <c r="B30" s="3">
        <f t="shared" si="2"/>
        <v>1.0000000000000009E-3</v>
      </c>
      <c r="C30" s="3">
        <f t="shared" si="3"/>
        <v>1.4142135623730963E-3</v>
      </c>
      <c r="D30" s="3">
        <f t="shared" si="0"/>
        <v>3.0000000000000027E-3</v>
      </c>
      <c r="E30" s="3">
        <f t="shared" si="3"/>
        <v>0</v>
      </c>
      <c r="F30" s="3">
        <f t="shared" si="0"/>
        <v>6.5000000000000058E-3</v>
      </c>
      <c r="G30" s="3">
        <f t="shared" si="4"/>
        <v>2.1213203435596446E-3</v>
      </c>
      <c r="H30" s="3">
        <f t="shared" si="0"/>
        <v>2.0000000000000018E-3</v>
      </c>
      <c r="I30" s="3">
        <f t="shared" si="5"/>
        <v>7.0710678118654814E-3</v>
      </c>
      <c r="J30" s="3">
        <f t="shared" si="0"/>
        <v>0</v>
      </c>
      <c r="K30" s="3">
        <f t="shared" si="6"/>
        <v>0</v>
      </c>
      <c r="L30" s="3">
        <f t="shared" si="0"/>
        <v>4.0000000000000036E-3</v>
      </c>
      <c r="M30" s="3">
        <f t="shared" si="7"/>
        <v>5.6568542494923853E-3</v>
      </c>
    </row>
    <row r="31" spans="1:13" x14ac:dyDescent="0.3">
      <c r="A31" t="s">
        <v>18</v>
      </c>
      <c r="B31" s="3">
        <f t="shared" si="2"/>
        <v>3.4999999999999962E-3</v>
      </c>
      <c r="C31" s="3">
        <f t="shared" si="3"/>
        <v>2.1213203435596346E-3</v>
      </c>
      <c r="D31" s="3">
        <f t="shared" si="0"/>
        <v>-1.0000000000000009E-3</v>
      </c>
      <c r="E31" s="3">
        <f t="shared" si="3"/>
        <v>2.8284271247461927E-3</v>
      </c>
      <c r="F31" s="3">
        <f t="shared" si="0"/>
        <v>3.0000000000000027E-3</v>
      </c>
      <c r="G31" s="3">
        <f t="shared" si="4"/>
        <v>1.4142135623730963E-3</v>
      </c>
      <c r="H31" s="3">
        <f t="shared" si="0"/>
        <v>1.5000000000000048E-3</v>
      </c>
      <c r="I31" s="3">
        <f t="shared" si="5"/>
        <v>3.5355339059327359E-3</v>
      </c>
      <c r="J31" s="3">
        <f t="shared" si="0"/>
        <v>-9.9999999999999742E-4</v>
      </c>
      <c r="K31" s="3">
        <f t="shared" si="6"/>
        <v>4.9065389333867974E-18</v>
      </c>
      <c r="L31" s="3">
        <f t="shared" si="0"/>
        <v>-1.0000000000000009E-3</v>
      </c>
      <c r="M31" s="3">
        <f t="shared" si="7"/>
        <v>1.4142135623730963E-3</v>
      </c>
    </row>
    <row r="32" spans="1:13" x14ac:dyDescent="0.3">
      <c r="A32" t="s">
        <v>19</v>
      </c>
      <c r="B32" s="3">
        <f t="shared" si="2"/>
        <v>4.0000000000000036E-3</v>
      </c>
      <c r="C32" s="3">
        <f t="shared" si="3"/>
        <v>1.4142135623730963E-3</v>
      </c>
      <c r="D32" s="3">
        <f t="shared" si="0"/>
        <v>2.4999999999999953E-3</v>
      </c>
      <c r="E32" s="3">
        <f t="shared" si="3"/>
        <v>7.0710678118653841E-4</v>
      </c>
      <c r="F32" s="3">
        <f t="shared" si="0"/>
        <v>3.9999999999999897E-3</v>
      </c>
      <c r="G32" s="3">
        <f t="shared" si="4"/>
        <v>1.4142135623730963E-3</v>
      </c>
      <c r="H32" s="3">
        <f t="shared" si="0"/>
        <v>9.9999999999999395E-4</v>
      </c>
      <c r="I32" s="3">
        <f t="shared" si="5"/>
        <v>9.8130778667735948E-18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0</v>
      </c>
      <c r="M32" s="3">
        <f t="shared" si="7"/>
        <v>0</v>
      </c>
    </row>
    <row r="33" spans="1:13" x14ac:dyDescent="0.3">
      <c r="A33" t="s">
        <v>20</v>
      </c>
      <c r="B33" s="3">
        <f t="shared" si="2"/>
        <v>2.5000000000000022E-3</v>
      </c>
      <c r="C33" s="3">
        <f t="shared" si="3"/>
        <v>1.6263455967290608E-2</v>
      </c>
      <c r="D33" s="3">
        <f t="shared" si="0"/>
        <v>-1.0000000000000009E-3</v>
      </c>
      <c r="E33" s="3">
        <f t="shared" si="3"/>
        <v>0</v>
      </c>
      <c r="F33" s="3">
        <f t="shared" si="0"/>
        <v>9.999999999999995E-3</v>
      </c>
      <c r="G33" s="3">
        <f t="shared" si="4"/>
        <v>7.0710678118654632E-3</v>
      </c>
      <c r="H33" s="3">
        <f t="shared" si="0"/>
        <v>1.0000000000000009E-3</v>
      </c>
      <c r="I33" s="3">
        <f t="shared" si="5"/>
        <v>0</v>
      </c>
      <c r="J33" s="3">
        <f t="shared" si="0"/>
        <v>0</v>
      </c>
      <c r="K33" s="3">
        <f t="shared" si="6"/>
        <v>0</v>
      </c>
      <c r="L33" s="3">
        <f t="shared" si="0"/>
        <v>0</v>
      </c>
      <c r="M33" s="3">
        <f t="shared" si="7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3"/>
  <sheetViews>
    <sheetView workbookViewId="0">
      <selection activeCell="A25" sqref="A25:M33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</v>
      </c>
      <c r="C3">
        <v>8.6999999999999994E-2</v>
      </c>
      <c r="D3">
        <v>7.6999999999999999E-2</v>
      </c>
      <c r="E3">
        <v>9.1999999999999998E-2</v>
      </c>
      <c r="F3">
        <v>0.14499999999999999</v>
      </c>
      <c r="G3">
        <v>0.11799999999999999</v>
      </c>
      <c r="H3">
        <v>8.3000000000000004E-2</v>
      </c>
      <c r="I3">
        <v>6.2E-2</v>
      </c>
      <c r="J3">
        <v>5.0999999999999997E-2</v>
      </c>
      <c r="K3">
        <v>4.8000000000000001E-2</v>
      </c>
      <c r="L3">
        <v>0.12</v>
      </c>
      <c r="M3">
        <v>9.1999999999999998E-2</v>
      </c>
    </row>
    <row r="4" spans="1:13" x14ac:dyDescent="0.3">
      <c r="A4" t="s">
        <v>14</v>
      </c>
      <c r="B4">
        <v>0.128</v>
      </c>
      <c r="C4">
        <v>0.14099999999999999</v>
      </c>
      <c r="D4">
        <v>7.8E-2</v>
      </c>
      <c r="E4">
        <v>8.6999999999999994E-2</v>
      </c>
      <c r="F4">
        <v>0.151</v>
      </c>
      <c r="G4">
        <v>0.13</v>
      </c>
      <c r="H4">
        <v>9.6000000000000002E-2</v>
      </c>
      <c r="I4">
        <v>9.5000000000000001E-2</v>
      </c>
      <c r="J4">
        <v>6.0999999999999999E-2</v>
      </c>
      <c r="K4">
        <v>5.3999999999999999E-2</v>
      </c>
      <c r="L4">
        <v>9.2999999999999999E-2</v>
      </c>
      <c r="M4">
        <v>0.111</v>
      </c>
    </row>
    <row r="5" spans="1:13" x14ac:dyDescent="0.3">
      <c r="A5" t="s">
        <v>15</v>
      </c>
      <c r="B5">
        <v>0.14199999999999999</v>
      </c>
      <c r="C5">
        <v>0.14799999999999999</v>
      </c>
      <c r="D5">
        <v>8.4000000000000005E-2</v>
      </c>
      <c r="E5">
        <v>0.08</v>
      </c>
      <c r="F5">
        <v>0.10299999999999999</v>
      </c>
      <c r="G5">
        <v>0.109</v>
      </c>
      <c r="H5">
        <v>7.8E-2</v>
      </c>
      <c r="I5">
        <v>6.3E-2</v>
      </c>
      <c r="J5">
        <v>9.2999999999999999E-2</v>
      </c>
      <c r="K5">
        <v>0.11799999999999999</v>
      </c>
      <c r="L5">
        <v>0.114</v>
      </c>
      <c r="M5">
        <v>0.107</v>
      </c>
    </row>
    <row r="6" spans="1:13" x14ac:dyDescent="0.3">
      <c r="A6" t="s">
        <v>16</v>
      </c>
      <c r="B6">
        <v>0.17499999999999999</v>
      </c>
      <c r="C6">
        <v>0.188</v>
      </c>
      <c r="D6">
        <v>8.3000000000000004E-2</v>
      </c>
      <c r="E6">
        <v>9.0999999999999998E-2</v>
      </c>
      <c r="F6">
        <v>0.12</v>
      </c>
      <c r="G6">
        <v>0.20899999999999999</v>
      </c>
      <c r="H6">
        <v>7.1999999999999995E-2</v>
      </c>
      <c r="I6">
        <v>0.109</v>
      </c>
      <c r="J6">
        <v>8.3000000000000004E-2</v>
      </c>
      <c r="K6">
        <v>8.4000000000000005E-2</v>
      </c>
      <c r="L6">
        <v>0.10100000000000001</v>
      </c>
      <c r="M6">
        <v>9.7000000000000003E-2</v>
      </c>
    </row>
    <row r="7" spans="1:13" x14ac:dyDescent="0.3">
      <c r="A7" t="s">
        <v>17</v>
      </c>
      <c r="B7">
        <v>0.13600000000000001</v>
      </c>
      <c r="C7">
        <v>0.152</v>
      </c>
      <c r="D7">
        <v>8.3000000000000004E-2</v>
      </c>
      <c r="E7">
        <v>9.0999999999999998E-2</v>
      </c>
      <c r="F7">
        <v>0.11899999999999999</v>
      </c>
      <c r="G7">
        <v>0.111</v>
      </c>
      <c r="H7">
        <v>0.10100000000000001</v>
      </c>
      <c r="I7">
        <v>7.9000000000000001E-2</v>
      </c>
      <c r="J7">
        <v>6.8000000000000005E-2</v>
      </c>
      <c r="K7">
        <v>6.9000000000000006E-2</v>
      </c>
      <c r="L7">
        <v>0.64900000000000002</v>
      </c>
      <c r="M7">
        <v>9.7000000000000003E-2</v>
      </c>
    </row>
    <row r="8" spans="1:13" x14ac:dyDescent="0.3">
      <c r="A8" t="s">
        <v>18</v>
      </c>
      <c r="B8">
        <v>0.121</v>
      </c>
      <c r="C8">
        <v>9.4E-2</v>
      </c>
      <c r="D8">
        <v>7.5999999999999998E-2</v>
      </c>
      <c r="E8">
        <v>7.5999999999999998E-2</v>
      </c>
      <c r="F8">
        <v>0.10100000000000001</v>
      </c>
      <c r="G8">
        <v>8.1000000000000003E-2</v>
      </c>
      <c r="H8">
        <v>7.9000000000000001E-2</v>
      </c>
      <c r="I8">
        <v>5.8000000000000003E-2</v>
      </c>
      <c r="J8">
        <v>0.05</v>
      </c>
      <c r="K8">
        <v>6.2E-2</v>
      </c>
      <c r="L8">
        <v>0.36799999999999999</v>
      </c>
      <c r="M8">
        <v>9.7000000000000003E-2</v>
      </c>
    </row>
    <row r="9" spans="1:13" x14ac:dyDescent="0.3">
      <c r="A9" t="s">
        <v>19</v>
      </c>
      <c r="B9">
        <v>0.153</v>
      </c>
      <c r="C9">
        <v>0.16800000000000001</v>
      </c>
      <c r="D9">
        <v>0.10299999999999999</v>
      </c>
      <c r="E9">
        <v>0.107</v>
      </c>
      <c r="F9">
        <v>0.11899999999999999</v>
      </c>
      <c r="G9">
        <v>0.104</v>
      </c>
      <c r="H9">
        <v>7.0999999999999994E-2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3">
      <c r="A10" t="s">
        <v>20</v>
      </c>
      <c r="B10">
        <v>0.20499999999999999</v>
      </c>
      <c r="C10">
        <v>0.221</v>
      </c>
      <c r="D10">
        <v>0.104</v>
      </c>
      <c r="E10">
        <v>0.112</v>
      </c>
      <c r="F10">
        <v>0.24299999999999999</v>
      </c>
      <c r="G10">
        <v>0.16500000000000001</v>
      </c>
      <c r="H10">
        <v>9.8000000000000004E-2</v>
      </c>
      <c r="I10">
        <v>9.2999999999999999E-2</v>
      </c>
      <c r="J10">
        <v>9.6000000000000002E-2</v>
      </c>
      <c r="K10">
        <v>0.125</v>
      </c>
      <c r="L10">
        <v>0.125</v>
      </c>
      <c r="M10">
        <v>9.7000000000000003E-2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2.0000000000000018E-3</v>
      </c>
      <c r="C15" s="3">
        <f xml:space="preserve"> C3 - '+0.0 seg'!$C$3</f>
        <v>1.9999999999999879E-3</v>
      </c>
      <c r="D15" s="3">
        <f xml:space="preserve"> D3 - '+0.0 seg'!$D$3</f>
        <v>4.0000000000000036E-3</v>
      </c>
      <c r="E15" s="3">
        <f xml:space="preserve"> E3 - '+0.0 seg'!$E$3</f>
        <v>5.0000000000000044E-3</v>
      </c>
      <c r="F15" s="3">
        <f xml:space="preserve"> F3 - '+0.0 seg'!$F$3</f>
        <v>-2.0000000000000018E-3</v>
      </c>
      <c r="G15" s="3">
        <f xml:space="preserve"> G3 - '+0.0 seg'!$G$3</f>
        <v>2.9999999999999888E-3</v>
      </c>
      <c r="H15" s="3">
        <f xml:space="preserve"> H3 - '+0.0 seg'!$H$3</f>
        <v>0</v>
      </c>
      <c r="I15" s="3">
        <f xml:space="preserve"> I3 - '+0.0 seg'!$I$3</f>
        <v>1.0000000000000009E-3</v>
      </c>
      <c r="J15" s="3">
        <f xml:space="preserve"> J3 - '+0.0 seg'!$J$3</f>
        <v>0</v>
      </c>
      <c r="K15" s="3">
        <f xml:space="preserve"> K3 - '+0.0 seg'!$K$3</f>
        <v>-3.9999999999999966E-3</v>
      </c>
      <c r="L15" s="3">
        <f xml:space="preserve"> L3 - '+0.0 seg'!$L$3</f>
        <v>0</v>
      </c>
      <c r="M15" s="3">
        <f xml:space="preserve"> M3 - '+0.0 seg'!$M$3</f>
        <v>0</v>
      </c>
    </row>
    <row r="16" spans="1:13" x14ac:dyDescent="0.3">
      <c r="A16" t="s">
        <v>14</v>
      </c>
      <c r="B16" s="3">
        <f xml:space="preserve"> B4 - '+0.0 seg'!$B$4</f>
        <v>0</v>
      </c>
      <c r="C16" s="3">
        <f xml:space="preserve"> C4 - '+0.0 seg'!$C$4</f>
        <v>9.9999999999997313E-4</v>
      </c>
      <c r="D16" s="3">
        <f xml:space="preserve"> D4 - '+0.0 seg'!$D$4</f>
        <v>2.0000000000000018E-3</v>
      </c>
      <c r="E16" s="3">
        <f xml:space="preserve"> E4 - '+0.0 seg'!$E$4</f>
        <v>2.9999999999999888E-3</v>
      </c>
      <c r="F16" s="3">
        <f xml:space="preserve"> F4 - '+0.0 seg'!$F$4</f>
        <v>5.0000000000000044E-3</v>
      </c>
      <c r="G16" s="3">
        <f xml:space="preserve"> G4 - '+0.0 seg'!$G$4</f>
        <v>3.0000000000000027E-3</v>
      </c>
      <c r="H16" s="3">
        <f xml:space="preserve"> H4 - '+0.0 seg'!$H$4</f>
        <v>5.0000000000000044E-3</v>
      </c>
      <c r="I16" s="3">
        <f xml:space="preserve"> I4 - '+0.0 seg'!$I$4</f>
        <v>3.0000000000000027E-3</v>
      </c>
      <c r="J16" s="3">
        <f xml:space="preserve"> J4 - '+0.0 seg'!$J$4</f>
        <v>-1.0000000000000009E-3</v>
      </c>
      <c r="K16" s="3">
        <f xml:space="preserve"> K4 - '+0.0 seg'!$K$4</f>
        <v>2.0000000000000018E-3</v>
      </c>
      <c r="L16" s="3">
        <f xml:space="preserve"> L4 - '+0.0 seg'!$L$4</f>
        <v>-1.0000000000000009E-3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1.0000000000000009E-3</v>
      </c>
      <c r="C17" s="3">
        <f xml:space="preserve"> C5 - '+0.0 seg'!$C$5</f>
        <v>6.0000000000000053E-3</v>
      </c>
      <c r="D17" s="3">
        <f xml:space="preserve"> D5 - '+0.0 seg'!$D$5</f>
        <v>4.0000000000000036E-3</v>
      </c>
      <c r="E17" s="3">
        <f xml:space="preserve"> E5 - '+0.0 seg'!$E$5</f>
        <v>0</v>
      </c>
      <c r="F17" s="3">
        <f xml:space="preserve"> F5 - '+0.0 seg'!$F$5</f>
        <v>1.9999999999999879E-3</v>
      </c>
      <c r="G17" s="3">
        <f xml:space="preserve"> G5 - '+0.0 seg'!$G$5</f>
        <v>-7.0000000000000062E-3</v>
      </c>
      <c r="H17" s="3">
        <f xml:space="preserve"> H5 - '+0.0 seg'!$H$5</f>
        <v>3.0000000000000027E-3</v>
      </c>
      <c r="I17" s="3">
        <f xml:space="preserve"> I5 - '+0.0 seg'!$I$5</f>
        <v>-6.0000000000000053E-3</v>
      </c>
      <c r="J17" s="3">
        <f xml:space="preserve"> J5 - '+0.0 seg'!$J$5</f>
        <v>-1.0000000000000009E-3</v>
      </c>
      <c r="K17" s="3">
        <f xml:space="preserve"> K5 - '+0.0 seg'!$K$5</f>
        <v>0</v>
      </c>
      <c r="L17" s="3">
        <f xml:space="preserve"> L5 - '+0.0 seg'!$L$5</f>
        <v>0</v>
      </c>
      <c r="M17" s="3">
        <f xml:space="preserve"> M5 - '+0.0 seg'!$M$5</f>
        <v>0</v>
      </c>
    </row>
    <row r="18" spans="1:13" x14ac:dyDescent="0.3">
      <c r="A18" t="s">
        <v>16</v>
      </c>
      <c r="B18" s="3">
        <f xml:space="preserve"> B6 - '+0.0 seg'!$B$6</f>
        <v>3.9999999999999758E-3</v>
      </c>
      <c r="C18" s="3">
        <f xml:space="preserve"> C6 - '+0.0 seg'!$C$6</f>
        <v>4.0000000000000036E-3</v>
      </c>
      <c r="D18" s="3">
        <f xml:space="preserve"> D6 - '+0.0 seg'!$D$6</f>
        <v>1.0000000000000009E-3</v>
      </c>
      <c r="E18" s="3">
        <f xml:space="preserve"> E6 - '+0.0 seg'!$E$6</f>
        <v>0</v>
      </c>
      <c r="F18" s="3">
        <f xml:space="preserve"> F6 - '+0.0 seg'!$F$6</f>
        <v>2.9999999999999888E-3</v>
      </c>
      <c r="G18" s="3">
        <f xml:space="preserve"> G6 - '+0.0 seg'!$G$6</f>
        <v>9.9999999999999811E-3</v>
      </c>
      <c r="H18" s="3">
        <f xml:space="preserve"> H6 - '+0.0 seg'!$H$6</f>
        <v>3.9999999999999897E-3</v>
      </c>
      <c r="I18" s="3">
        <f xml:space="preserve"> I6 - '+0.0 seg'!$I$6</f>
        <v>0</v>
      </c>
      <c r="J18" s="3">
        <f xml:space="preserve"> J6 - '+0.0 seg'!$J$6</f>
        <v>0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0</v>
      </c>
    </row>
    <row r="19" spans="1:13" x14ac:dyDescent="0.3">
      <c r="A19" t="s">
        <v>17</v>
      </c>
      <c r="B19" s="3">
        <f xml:space="preserve"> B7 - '+0.0 seg'!$B$7</f>
        <v>2.0000000000000018E-3</v>
      </c>
      <c r="C19" s="3">
        <f xml:space="preserve"> C7 - '+0.0 seg'!$C$7</f>
        <v>1.0000000000000009E-3</v>
      </c>
      <c r="D19" s="3">
        <f xml:space="preserve"> D7 - '+0.0 seg'!$D$7</f>
        <v>3.0000000000000027E-3</v>
      </c>
      <c r="E19" s="3">
        <f xml:space="preserve"> E7 - '+0.0 seg'!$E$7</f>
        <v>3.0000000000000027E-3</v>
      </c>
      <c r="F19" s="3">
        <f xml:space="preserve"> F7 - '+0.0 seg'!$F$7</f>
        <v>6.9999999999999923E-3</v>
      </c>
      <c r="G19" s="3">
        <f xml:space="preserve"> G7 - '+0.0 seg'!$G$7</f>
        <v>8.0000000000000071E-3</v>
      </c>
      <c r="H19" s="3">
        <f xml:space="preserve"> H7 - '+0.0 seg'!$H$7</f>
        <v>7.0000000000000062E-3</v>
      </c>
      <c r="I19" s="3">
        <f xml:space="preserve"> I7 - '+0.0 seg'!$I$7</f>
        <v>-5.0000000000000044E-3</v>
      </c>
      <c r="J19" s="3">
        <f xml:space="preserve"> J7 - '+0.0 seg'!$J$7</f>
        <v>-1.0000000000000009E-3</v>
      </c>
      <c r="K19" s="3">
        <f xml:space="preserve"> K7 - '+0.0 seg'!$K$7</f>
        <v>0</v>
      </c>
      <c r="L19" s="3">
        <f xml:space="preserve"> L7 - '+0.0 seg'!$L$7</f>
        <v>6.0000000000000053E-3</v>
      </c>
      <c r="M19" s="3">
        <f xml:space="preserve"> M7 - '+0.0 seg'!$M$7</f>
        <v>0</v>
      </c>
    </row>
    <row r="20" spans="1:13" x14ac:dyDescent="0.3">
      <c r="A20" t="s">
        <v>18</v>
      </c>
      <c r="B20" s="3">
        <f xml:space="preserve"> B8 - '+0.0 seg'!$B$8</f>
        <v>4.9999999999999906E-3</v>
      </c>
      <c r="C20" s="3">
        <f xml:space="preserve"> C8 - '+0.0 seg'!$C$8</f>
        <v>3.0000000000000027E-3</v>
      </c>
      <c r="D20" s="3">
        <f xml:space="preserve"> D8 - '+0.0 seg'!$D$8</f>
        <v>-3.0000000000000027E-3</v>
      </c>
      <c r="E20" s="3">
        <f xml:space="preserve"> E8 - '+0.0 seg'!$E$8</f>
        <v>1.0000000000000009E-3</v>
      </c>
      <c r="F20" s="3">
        <f xml:space="preserve"> F8 - '+0.0 seg'!$F$8</f>
        <v>5.0000000000000044E-3</v>
      </c>
      <c r="G20" s="3">
        <f xml:space="preserve"> G8 - '+0.0 seg'!$G$8</f>
        <v>2.0000000000000018E-3</v>
      </c>
      <c r="H20" s="3">
        <f xml:space="preserve"> H8 - '+0.0 seg'!$H$8</f>
        <v>3.0000000000000027E-3</v>
      </c>
      <c r="I20" s="3">
        <f xml:space="preserve"> I8 - '+0.0 seg'!$I$8</f>
        <v>-9.9999999999999395E-4</v>
      </c>
      <c r="J20" s="3">
        <f xml:space="preserve"> J8 - '+0.0 seg'!$J$8</f>
        <v>-9.9999999999999395E-4</v>
      </c>
      <c r="K20" s="3">
        <f xml:space="preserve"> K8 - '+0.0 seg'!$K$8</f>
        <v>0</v>
      </c>
      <c r="L20" s="3">
        <f xml:space="preserve"> L8 - '+0.0 seg'!$L$8</f>
        <v>-1.0000000000000009E-3</v>
      </c>
      <c r="M20" s="3">
        <f xml:space="preserve"> M8 - '+0.0 seg'!$M$8</f>
        <v>0</v>
      </c>
    </row>
    <row r="21" spans="1:13" x14ac:dyDescent="0.3">
      <c r="A21" t="s">
        <v>19</v>
      </c>
      <c r="B21" s="3">
        <f xml:space="preserve"> B9 - '+0.0 seg'!$B$9</f>
        <v>2.0000000000000018E-3</v>
      </c>
      <c r="C21" s="3">
        <f xml:space="preserve"> C9 - '+0.0 seg'!$C$9</f>
        <v>6.0000000000000053E-3</v>
      </c>
      <c r="D21" s="3">
        <f xml:space="preserve"> D9 - '+0.0 seg'!$D$9</f>
        <v>2.9999999999999888E-3</v>
      </c>
      <c r="E21" s="3">
        <f xml:space="preserve"> E9 - '+0.0 seg'!$E$9</f>
        <v>2.0000000000000018E-3</v>
      </c>
      <c r="F21" s="3">
        <f xml:space="preserve"> F9 - '+0.0 seg'!$F$9</f>
        <v>2.9999999999999888E-3</v>
      </c>
      <c r="G21" s="3">
        <f xml:space="preserve"> G9 - '+0.0 seg'!$G$9</f>
        <v>5.9999999999999915E-3</v>
      </c>
      <c r="H21" s="3">
        <f xml:space="preserve"> H9 - '+0.0 seg'!$H$9</f>
        <v>9.9999999999998701E-4</v>
      </c>
      <c r="I21" s="3">
        <f xml:space="preserve"> I9 - '+0.0 seg'!$I$9</f>
        <v>0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</row>
    <row r="22" spans="1:13" x14ac:dyDescent="0.3">
      <c r="A22" t="s">
        <v>20</v>
      </c>
      <c r="B22" s="3">
        <f xml:space="preserve"> B10 - '+0.0 seg'!$B$10</f>
        <v>-1.4000000000000012E-2</v>
      </c>
      <c r="C22" s="3">
        <f xml:space="preserve"> C10 - '+0.0 seg'!$C$10</f>
        <v>1.6000000000000014E-2</v>
      </c>
      <c r="D22" s="3">
        <f xml:space="preserve"> D10 - '+0.0 seg'!$D$10</f>
        <v>-1.0000000000000009E-3</v>
      </c>
      <c r="E22" s="3">
        <f xml:space="preserve"> E10 - '+0.0 seg'!$E$10</f>
        <v>0</v>
      </c>
      <c r="F22" s="3">
        <f xml:space="preserve"> F10 - '+0.0 seg'!$F$10</f>
        <v>1.6999999999999987E-2</v>
      </c>
      <c r="G22" s="3">
        <f xml:space="preserve"> G10 - '+0.0 seg'!$G$10</f>
        <v>6.0000000000000053E-3</v>
      </c>
      <c r="H22" s="3">
        <f xml:space="preserve"> H10 - '+0.0 seg'!$H$10</f>
        <v>1.0000000000000009E-3</v>
      </c>
      <c r="I22" s="3">
        <f xml:space="preserve"> I10 - '+0.0 seg'!$I$10</f>
        <v>1.0000000000000009E-3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1.0000000000000009E-3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1.9999999999999948E-3</v>
      </c>
      <c r="C26" s="3">
        <f>STDEV(B15:C15)</f>
        <v>9.8130778667735948E-18</v>
      </c>
      <c r="D26" s="3">
        <f t="shared" ref="D26:L33" si="0">AVERAGE(D15:E15)</f>
        <v>4.500000000000004E-3</v>
      </c>
      <c r="E26" s="3">
        <f>STDEV(D15:E15)</f>
        <v>7.0710678118654816E-4</v>
      </c>
      <c r="F26" s="3">
        <f t="shared" si="0"/>
        <v>4.9999999999999351E-4</v>
      </c>
      <c r="G26" s="3">
        <f>STDEV(F15:G15)</f>
        <v>3.5355339059327312E-3</v>
      </c>
      <c r="H26" s="3">
        <f t="shared" si="0"/>
        <v>5.0000000000000044E-4</v>
      </c>
      <c r="I26" s="3">
        <f>STDEV(H15:I15)</f>
        <v>7.0710678118654816E-4</v>
      </c>
      <c r="J26" s="3">
        <f t="shared" si="0"/>
        <v>-1.9999999999999983E-3</v>
      </c>
      <c r="K26" s="3">
        <f>STDEV(J15:K15)</f>
        <v>2.8284271247461874E-3</v>
      </c>
      <c r="L26" s="3">
        <f t="shared" ref="L26:M26" si="1">AVERAGE(L15:M15)</f>
        <v>0</v>
      </c>
      <c r="M26" s="3">
        <f>STDEV(L15:M15)</f>
        <v>0</v>
      </c>
    </row>
    <row r="27" spans="1:13" x14ac:dyDescent="0.3">
      <c r="A27" t="s">
        <v>14</v>
      </c>
      <c r="B27" s="3">
        <f t="shared" ref="B27:B33" si="2">AVERAGE(B16:C16)</f>
        <v>4.9999999999998657E-4</v>
      </c>
      <c r="C27" s="3">
        <f t="shared" ref="C27:E33" si="3">STDEV(B16:C16)</f>
        <v>7.0710678118652854E-4</v>
      </c>
      <c r="D27" s="3">
        <f t="shared" si="0"/>
        <v>2.4999999999999953E-3</v>
      </c>
      <c r="E27" s="3">
        <f t="shared" si="3"/>
        <v>7.0710678118653841E-4</v>
      </c>
      <c r="F27" s="3">
        <f t="shared" si="0"/>
        <v>4.0000000000000036E-3</v>
      </c>
      <c r="G27" s="3">
        <f t="shared" ref="G27:G33" si="4">STDEV(F16:G16)</f>
        <v>1.4142135623730963E-3</v>
      </c>
      <c r="H27" s="3">
        <f t="shared" si="0"/>
        <v>4.0000000000000036E-3</v>
      </c>
      <c r="I27" s="3">
        <f t="shared" ref="I27:I33" si="5">STDEV(H16:I16)</f>
        <v>1.4142135623730963E-3</v>
      </c>
      <c r="J27" s="3">
        <f t="shared" si="0"/>
        <v>5.0000000000000044E-4</v>
      </c>
      <c r="K27" s="3">
        <f t="shared" ref="K27:K33" si="6">STDEV(J16:K16)</f>
        <v>2.1213203435596446E-3</v>
      </c>
      <c r="L27" s="3">
        <f t="shared" si="0"/>
        <v>-5.0000000000000044E-4</v>
      </c>
      <c r="M27" s="3">
        <f t="shared" ref="M27:M33" si="7">STDEV(L16:M16)</f>
        <v>7.0710678118654816E-4</v>
      </c>
    </row>
    <row r="28" spans="1:13" x14ac:dyDescent="0.3">
      <c r="A28" t="s">
        <v>15</v>
      </c>
      <c r="B28" s="3">
        <f t="shared" si="2"/>
        <v>3.5000000000000031E-3</v>
      </c>
      <c r="C28" s="3">
        <f t="shared" si="3"/>
        <v>3.5355339059327407E-3</v>
      </c>
      <c r="D28" s="3">
        <f t="shared" si="0"/>
        <v>2.0000000000000018E-3</v>
      </c>
      <c r="E28" s="3">
        <f t="shared" si="3"/>
        <v>2.8284271247461927E-3</v>
      </c>
      <c r="F28" s="3">
        <f t="shared" si="0"/>
        <v>-2.5000000000000092E-3</v>
      </c>
      <c r="G28" s="3">
        <f t="shared" si="4"/>
        <v>6.3639610306789234E-3</v>
      </c>
      <c r="H28" s="3">
        <f t="shared" si="0"/>
        <v>-1.5000000000000013E-3</v>
      </c>
      <c r="I28" s="3">
        <f t="shared" si="5"/>
        <v>6.3639610306789329E-3</v>
      </c>
      <c r="J28" s="3">
        <f t="shared" si="0"/>
        <v>-5.0000000000000044E-4</v>
      </c>
      <c r="K28" s="3">
        <f t="shared" si="6"/>
        <v>7.0710678118654816E-4</v>
      </c>
      <c r="L28" s="3">
        <f t="shared" si="0"/>
        <v>0</v>
      </c>
      <c r="M28" s="3">
        <f t="shared" si="7"/>
        <v>0</v>
      </c>
    </row>
    <row r="29" spans="1:13" x14ac:dyDescent="0.3">
      <c r="A29" t="s">
        <v>16</v>
      </c>
      <c r="B29" s="3">
        <f t="shared" si="2"/>
        <v>3.9999999999999897E-3</v>
      </c>
      <c r="C29" s="3">
        <f t="shared" si="3"/>
        <v>1.962615573354719E-17</v>
      </c>
      <c r="D29" s="3">
        <f t="shared" si="0"/>
        <v>5.0000000000000044E-4</v>
      </c>
      <c r="E29" s="3">
        <f t="shared" si="3"/>
        <v>7.0710678118654816E-4</v>
      </c>
      <c r="F29" s="3">
        <f t="shared" si="0"/>
        <v>6.499999999999985E-3</v>
      </c>
      <c r="G29" s="3">
        <f t="shared" si="4"/>
        <v>4.9497474683058273E-3</v>
      </c>
      <c r="H29" s="3">
        <f t="shared" si="0"/>
        <v>1.9999999999999948E-3</v>
      </c>
      <c r="I29" s="3">
        <f t="shared" si="5"/>
        <v>2.8284271247461827E-3</v>
      </c>
      <c r="J29" s="3">
        <f t="shared" si="0"/>
        <v>0</v>
      </c>
      <c r="K29" s="3">
        <f t="shared" si="6"/>
        <v>0</v>
      </c>
      <c r="L29" s="3">
        <f t="shared" si="0"/>
        <v>0</v>
      </c>
      <c r="M29" s="3">
        <f t="shared" si="7"/>
        <v>0</v>
      </c>
    </row>
    <row r="30" spans="1:13" x14ac:dyDescent="0.3">
      <c r="A30" t="s">
        <v>17</v>
      </c>
      <c r="B30" s="3">
        <f t="shared" si="2"/>
        <v>1.5000000000000013E-3</v>
      </c>
      <c r="C30" s="3">
        <f t="shared" si="3"/>
        <v>7.0710678118654816E-4</v>
      </c>
      <c r="D30" s="3">
        <f t="shared" si="0"/>
        <v>3.0000000000000027E-3</v>
      </c>
      <c r="E30" s="3">
        <f t="shared" si="3"/>
        <v>0</v>
      </c>
      <c r="F30" s="3">
        <f t="shared" si="0"/>
        <v>7.4999999999999997E-3</v>
      </c>
      <c r="G30" s="3">
        <f t="shared" si="4"/>
        <v>7.0710678118655803E-4</v>
      </c>
      <c r="H30" s="3">
        <f t="shared" si="0"/>
        <v>1.0000000000000009E-3</v>
      </c>
      <c r="I30" s="3">
        <f t="shared" si="5"/>
        <v>8.4852813742385784E-3</v>
      </c>
      <c r="J30" s="3">
        <f t="shared" si="0"/>
        <v>-5.0000000000000044E-4</v>
      </c>
      <c r="K30" s="3">
        <f t="shared" si="6"/>
        <v>7.0710678118654816E-4</v>
      </c>
      <c r="L30" s="3">
        <f t="shared" si="0"/>
        <v>3.0000000000000027E-3</v>
      </c>
      <c r="M30" s="3">
        <f t="shared" si="7"/>
        <v>4.2426406871192892E-3</v>
      </c>
    </row>
    <row r="31" spans="1:13" x14ac:dyDescent="0.3">
      <c r="A31" t="s">
        <v>18</v>
      </c>
      <c r="B31" s="3">
        <f t="shared" si="2"/>
        <v>3.9999999999999966E-3</v>
      </c>
      <c r="C31" s="3">
        <f t="shared" si="3"/>
        <v>1.4142135623730866E-3</v>
      </c>
      <c r="D31" s="3">
        <f t="shared" si="0"/>
        <v>-1.0000000000000009E-3</v>
      </c>
      <c r="E31" s="3">
        <f t="shared" si="3"/>
        <v>2.8284271247461927E-3</v>
      </c>
      <c r="F31" s="3">
        <f t="shared" si="0"/>
        <v>3.5000000000000031E-3</v>
      </c>
      <c r="G31" s="3">
        <f t="shared" si="4"/>
        <v>2.121320343559645E-3</v>
      </c>
      <c r="H31" s="3">
        <f t="shared" si="0"/>
        <v>1.0000000000000044E-3</v>
      </c>
      <c r="I31" s="3">
        <f t="shared" si="5"/>
        <v>2.8284271247461874E-3</v>
      </c>
      <c r="J31" s="3">
        <f t="shared" si="0"/>
        <v>-4.9999999999999697E-4</v>
      </c>
      <c r="K31" s="3">
        <f t="shared" si="6"/>
        <v>7.0710678118654328E-4</v>
      </c>
      <c r="L31" s="3">
        <f t="shared" si="0"/>
        <v>-5.0000000000000044E-4</v>
      </c>
      <c r="M31" s="3">
        <f t="shared" si="7"/>
        <v>7.0710678118654816E-4</v>
      </c>
    </row>
    <row r="32" spans="1:13" x14ac:dyDescent="0.3">
      <c r="A32" t="s">
        <v>19</v>
      </c>
      <c r="B32" s="3">
        <f t="shared" si="2"/>
        <v>4.0000000000000036E-3</v>
      </c>
      <c r="C32" s="3">
        <f t="shared" si="3"/>
        <v>2.8284271247461922E-3</v>
      </c>
      <c r="D32" s="3">
        <f t="shared" si="0"/>
        <v>2.4999999999999953E-3</v>
      </c>
      <c r="E32" s="3">
        <f t="shared" si="3"/>
        <v>7.0710678118653841E-4</v>
      </c>
      <c r="F32" s="3">
        <f t="shared" si="0"/>
        <v>4.4999999999999901E-3</v>
      </c>
      <c r="G32" s="3">
        <f t="shared" si="4"/>
        <v>2.1213203435596459E-3</v>
      </c>
      <c r="H32" s="3">
        <f t="shared" si="0"/>
        <v>4.9999999999999351E-4</v>
      </c>
      <c r="I32" s="3">
        <f t="shared" si="5"/>
        <v>7.0710678118653841E-4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0</v>
      </c>
      <c r="M32" s="3">
        <f t="shared" si="7"/>
        <v>0</v>
      </c>
    </row>
    <row r="33" spans="1:13" x14ac:dyDescent="0.3">
      <c r="A33" t="s">
        <v>20</v>
      </c>
      <c r="B33" s="3">
        <f t="shared" si="2"/>
        <v>1.0000000000000009E-3</v>
      </c>
      <c r="C33" s="3">
        <f t="shared" si="3"/>
        <v>2.1213203435596444E-2</v>
      </c>
      <c r="D33" s="3">
        <f t="shared" si="0"/>
        <v>-5.0000000000000044E-4</v>
      </c>
      <c r="E33" s="3">
        <f t="shared" si="3"/>
        <v>7.0710678118654816E-4</v>
      </c>
      <c r="F33" s="3">
        <f t="shared" si="0"/>
        <v>1.1499999999999996E-2</v>
      </c>
      <c r="G33" s="3">
        <f t="shared" si="4"/>
        <v>7.7781745930520091E-3</v>
      </c>
      <c r="H33" s="3">
        <f t="shared" si="0"/>
        <v>1.0000000000000009E-3</v>
      </c>
      <c r="I33" s="3">
        <f t="shared" si="5"/>
        <v>0</v>
      </c>
      <c r="J33" s="3">
        <f t="shared" si="0"/>
        <v>0</v>
      </c>
      <c r="K33" s="3">
        <f t="shared" si="6"/>
        <v>0</v>
      </c>
      <c r="L33" s="3">
        <f t="shared" si="0"/>
        <v>5.0000000000000044E-4</v>
      </c>
      <c r="M33" s="3">
        <f t="shared" si="7"/>
        <v>7.0710678118654816E-4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workbookViewId="0">
      <selection activeCell="A25" sqref="A25:M33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9.8000000000000004E-2</v>
      </c>
      <c r="C3">
        <v>8.6999999999999994E-2</v>
      </c>
      <c r="D3">
        <v>7.8E-2</v>
      </c>
      <c r="E3">
        <v>8.2000000000000003E-2</v>
      </c>
      <c r="F3">
        <v>0.14599999999999999</v>
      </c>
      <c r="G3">
        <v>0.11899999999999999</v>
      </c>
      <c r="H3">
        <v>8.3000000000000004E-2</v>
      </c>
      <c r="I3">
        <v>6.2E-2</v>
      </c>
      <c r="J3">
        <v>5.1999999999999998E-2</v>
      </c>
      <c r="K3">
        <v>4.8000000000000001E-2</v>
      </c>
      <c r="L3">
        <v>0.12</v>
      </c>
      <c r="M3">
        <v>9.1999999999999998E-2</v>
      </c>
    </row>
    <row r="4" spans="1:13" x14ac:dyDescent="0.3">
      <c r="A4" t="s">
        <v>14</v>
      </c>
      <c r="B4">
        <v>0.129</v>
      </c>
      <c r="C4">
        <v>0.14099999999999999</v>
      </c>
      <c r="D4">
        <v>7.9000000000000001E-2</v>
      </c>
      <c r="E4">
        <v>8.6999999999999994E-2</v>
      </c>
      <c r="F4">
        <v>0.151</v>
      </c>
      <c r="G4">
        <v>0.13</v>
      </c>
      <c r="H4">
        <v>9.7000000000000003E-2</v>
      </c>
      <c r="I4">
        <v>9.5000000000000001E-2</v>
      </c>
      <c r="J4">
        <v>6.2E-2</v>
      </c>
      <c r="K4">
        <v>5.3999999999999999E-2</v>
      </c>
      <c r="L4">
        <v>9.2999999999999999E-2</v>
      </c>
      <c r="M4">
        <v>0.111</v>
      </c>
    </row>
    <row r="5" spans="1:13" x14ac:dyDescent="0.3">
      <c r="A5" t="s">
        <v>15</v>
      </c>
      <c r="B5">
        <v>0.14299999999999999</v>
      </c>
      <c r="C5">
        <v>0.14899999999999999</v>
      </c>
      <c r="D5">
        <v>8.4000000000000005E-2</v>
      </c>
      <c r="E5">
        <v>7.9000000000000001E-2</v>
      </c>
      <c r="F5">
        <v>0.104</v>
      </c>
      <c r="G5">
        <v>0.109</v>
      </c>
      <c r="H5">
        <v>0.08</v>
      </c>
      <c r="I5">
        <v>6.3E-2</v>
      </c>
      <c r="J5">
        <v>9.4E-2</v>
      </c>
      <c r="K5">
        <v>0.11799999999999999</v>
      </c>
      <c r="L5">
        <v>0.114</v>
      </c>
      <c r="M5">
        <v>0.107</v>
      </c>
    </row>
    <row r="6" spans="1:13" x14ac:dyDescent="0.3">
      <c r="A6" t="s">
        <v>16</v>
      </c>
      <c r="B6">
        <v>0.17599999999999999</v>
      </c>
      <c r="C6">
        <v>0.19</v>
      </c>
      <c r="D6">
        <v>8.3000000000000004E-2</v>
      </c>
      <c r="E6">
        <v>9.0999999999999998E-2</v>
      </c>
      <c r="F6">
        <v>0.12</v>
      </c>
      <c r="G6">
        <v>0.21</v>
      </c>
      <c r="H6">
        <v>7.0999999999999994E-2</v>
      </c>
      <c r="I6">
        <v>0.11</v>
      </c>
      <c r="J6">
        <v>8.3000000000000004E-2</v>
      </c>
      <c r="K6">
        <v>8.4000000000000005E-2</v>
      </c>
      <c r="L6">
        <v>0.10100000000000001</v>
      </c>
      <c r="M6">
        <v>9.7000000000000003E-2</v>
      </c>
    </row>
    <row r="7" spans="1:13" x14ac:dyDescent="0.3">
      <c r="A7" t="s">
        <v>17</v>
      </c>
      <c r="B7">
        <v>0.13700000000000001</v>
      </c>
      <c r="C7">
        <v>0.14599999999999999</v>
      </c>
      <c r="D7">
        <v>8.3000000000000004E-2</v>
      </c>
      <c r="E7">
        <v>9.1999999999999998E-2</v>
      </c>
      <c r="F7">
        <v>0.12</v>
      </c>
      <c r="G7">
        <v>0.113</v>
      </c>
      <c r="H7">
        <v>0.10299999999999999</v>
      </c>
      <c r="I7">
        <v>7.9000000000000001E-2</v>
      </c>
      <c r="J7">
        <v>6.9000000000000006E-2</v>
      </c>
      <c r="K7">
        <v>6.9000000000000006E-2</v>
      </c>
      <c r="L7">
        <v>0.64800000000000002</v>
      </c>
      <c r="M7">
        <v>9.6000000000000002E-2</v>
      </c>
    </row>
    <row r="8" spans="1:13" x14ac:dyDescent="0.3">
      <c r="A8" t="s">
        <v>18</v>
      </c>
      <c r="B8">
        <v>0.12</v>
      </c>
      <c r="C8">
        <v>9.2999999999999999E-2</v>
      </c>
      <c r="D8">
        <v>7.6999999999999999E-2</v>
      </c>
      <c r="E8">
        <v>7.6999999999999999E-2</v>
      </c>
      <c r="F8">
        <v>0.10100000000000001</v>
      </c>
      <c r="G8">
        <v>8.1000000000000003E-2</v>
      </c>
      <c r="H8">
        <v>0.08</v>
      </c>
      <c r="I8">
        <v>5.7000000000000002E-2</v>
      </c>
      <c r="J8">
        <v>0.05</v>
      </c>
      <c r="K8">
        <v>6.2E-2</v>
      </c>
      <c r="L8">
        <v>0.36599999999999999</v>
      </c>
      <c r="M8">
        <v>9.8000000000000004E-2</v>
      </c>
    </row>
    <row r="9" spans="1:13" x14ac:dyDescent="0.3">
      <c r="A9" t="s">
        <v>19</v>
      </c>
      <c r="B9">
        <v>0.152</v>
      </c>
      <c r="C9">
        <v>0.16800000000000001</v>
      </c>
      <c r="D9">
        <v>0.104</v>
      </c>
      <c r="E9">
        <v>0.108</v>
      </c>
      <c r="F9">
        <v>0.12</v>
      </c>
      <c r="G9">
        <v>0.105</v>
      </c>
      <c r="H9">
        <v>7.0000000000000007E-2</v>
      </c>
      <c r="I9">
        <v>7.4999999999999997E-2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3">
      <c r="A10" t="s">
        <v>20</v>
      </c>
      <c r="B10">
        <v>0.20599999999999999</v>
      </c>
      <c r="C10">
        <v>0.222</v>
      </c>
      <c r="D10">
        <v>0.104</v>
      </c>
      <c r="E10">
        <v>0.112</v>
      </c>
      <c r="F10">
        <v>0.247</v>
      </c>
      <c r="G10">
        <v>0.16500000000000001</v>
      </c>
      <c r="H10">
        <v>9.8000000000000004E-2</v>
      </c>
      <c r="I10">
        <v>9.2999999999999999E-2</v>
      </c>
      <c r="J10">
        <v>9.6000000000000002E-2</v>
      </c>
      <c r="K10">
        <v>0.125</v>
      </c>
      <c r="L10">
        <v>0.125</v>
      </c>
      <c r="M10">
        <v>9.7000000000000003E-2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0</v>
      </c>
      <c r="C15" s="3">
        <f xml:space="preserve"> C3 - '+0.0 seg'!$C$3</f>
        <v>1.9999999999999879E-3</v>
      </c>
      <c r="D15" s="3">
        <f xml:space="preserve"> D3 - '+0.0 seg'!$D$3</f>
        <v>5.0000000000000044E-3</v>
      </c>
      <c r="E15" s="3">
        <f xml:space="preserve"> E3 - '+0.0 seg'!$E$3</f>
        <v>-4.9999999999999906E-3</v>
      </c>
      <c r="F15" s="3">
        <f xml:space="preserve"> F3 - '+0.0 seg'!$F$3</f>
        <v>-1.0000000000000009E-3</v>
      </c>
      <c r="G15" s="3">
        <f xml:space="preserve"> G3 - '+0.0 seg'!$G$3</f>
        <v>3.9999999999999897E-3</v>
      </c>
      <c r="H15" s="3">
        <f xml:space="preserve"> H3 - '+0.0 seg'!$H$3</f>
        <v>0</v>
      </c>
      <c r="I15" s="3">
        <f xml:space="preserve"> I3 - '+0.0 seg'!$I$3</f>
        <v>1.0000000000000009E-3</v>
      </c>
      <c r="J15" s="3">
        <f xml:space="preserve"> J3 - '+0.0 seg'!$J$3</f>
        <v>1.0000000000000009E-3</v>
      </c>
      <c r="K15" s="3">
        <f xml:space="preserve"> K3 - '+0.0 seg'!$K$3</f>
        <v>-3.9999999999999966E-3</v>
      </c>
      <c r="L15" s="3">
        <f xml:space="preserve"> L3 - '+0.0 seg'!$L$3</f>
        <v>0</v>
      </c>
      <c r="M15" s="3">
        <f xml:space="preserve"> M3 - '+0.0 seg'!$M$3</f>
        <v>0</v>
      </c>
    </row>
    <row r="16" spans="1:13" x14ac:dyDescent="0.3">
      <c r="A16" t="s">
        <v>14</v>
      </c>
      <c r="B16" s="3">
        <f xml:space="preserve"> B4 - '+0.0 seg'!$B$4</f>
        <v>1.0000000000000009E-3</v>
      </c>
      <c r="C16" s="3">
        <f xml:space="preserve"> C4 - '+0.0 seg'!$C$4</f>
        <v>9.9999999999997313E-4</v>
      </c>
      <c r="D16" s="3">
        <f xml:space="preserve"> D4 - '+0.0 seg'!$D$4</f>
        <v>3.0000000000000027E-3</v>
      </c>
      <c r="E16" s="3">
        <f xml:space="preserve"> E4 - '+0.0 seg'!$E$4</f>
        <v>2.9999999999999888E-3</v>
      </c>
      <c r="F16" s="3">
        <f xml:space="preserve"> F4 - '+0.0 seg'!$F$4</f>
        <v>5.0000000000000044E-3</v>
      </c>
      <c r="G16" s="3">
        <f xml:space="preserve"> G4 - '+0.0 seg'!$G$4</f>
        <v>3.0000000000000027E-3</v>
      </c>
      <c r="H16" s="3">
        <f xml:space="preserve"> H4 - '+0.0 seg'!$H$4</f>
        <v>6.0000000000000053E-3</v>
      </c>
      <c r="I16" s="3">
        <f xml:space="preserve"> I4 - '+0.0 seg'!$I$4</f>
        <v>3.0000000000000027E-3</v>
      </c>
      <c r="J16" s="3">
        <f xml:space="preserve"> J4 - '+0.0 seg'!$J$4</f>
        <v>0</v>
      </c>
      <c r="K16" s="3">
        <f xml:space="preserve"> K4 - '+0.0 seg'!$K$4</f>
        <v>2.0000000000000018E-3</v>
      </c>
      <c r="L16" s="3">
        <f xml:space="preserve"> L4 - '+0.0 seg'!$L$4</f>
        <v>-1.0000000000000009E-3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2.0000000000000018E-3</v>
      </c>
      <c r="C17" s="3">
        <f xml:space="preserve"> C5 - '+0.0 seg'!$C$5</f>
        <v>7.0000000000000062E-3</v>
      </c>
      <c r="D17" s="3">
        <f xml:space="preserve"> D5 - '+0.0 seg'!$D$5</f>
        <v>4.0000000000000036E-3</v>
      </c>
      <c r="E17" s="3">
        <f xml:space="preserve"> E5 - '+0.0 seg'!$E$5</f>
        <v>-1.0000000000000009E-3</v>
      </c>
      <c r="F17" s="3">
        <f xml:space="preserve"> F5 - '+0.0 seg'!$F$5</f>
        <v>2.9999999999999888E-3</v>
      </c>
      <c r="G17" s="3">
        <f xml:space="preserve"> G5 - '+0.0 seg'!$G$5</f>
        <v>-7.0000000000000062E-3</v>
      </c>
      <c r="H17" s="3">
        <f xml:space="preserve"> H5 - '+0.0 seg'!$H$5</f>
        <v>5.0000000000000044E-3</v>
      </c>
      <c r="I17" s="3">
        <f xml:space="preserve"> I5 - '+0.0 seg'!$I$5</f>
        <v>-6.0000000000000053E-3</v>
      </c>
      <c r="J17" s="3">
        <f xml:space="preserve"> J5 - '+0.0 seg'!$J$5</f>
        <v>0</v>
      </c>
      <c r="K17" s="3">
        <f xml:space="preserve"> K5 - '+0.0 seg'!$K$5</f>
        <v>0</v>
      </c>
      <c r="L17" s="3">
        <f xml:space="preserve"> L5 - '+0.0 seg'!$L$5</f>
        <v>0</v>
      </c>
      <c r="M17" s="3">
        <f xml:space="preserve"> M5 - '+0.0 seg'!$M$5</f>
        <v>0</v>
      </c>
    </row>
    <row r="18" spans="1:13" x14ac:dyDescent="0.3">
      <c r="A18" t="s">
        <v>16</v>
      </c>
      <c r="B18" s="3">
        <f xml:space="preserve"> B6 - '+0.0 seg'!$B$6</f>
        <v>4.9999999999999767E-3</v>
      </c>
      <c r="C18" s="3">
        <f xml:space="preserve"> C6 - '+0.0 seg'!$C$6</f>
        <v>6.0000000000000053E-3</v>
      </c>
      <c r="D18" s="3">
        <f xml:space="preserve"> D6 - '+0.0 seg'!$D$6</f>
        <v>1.0000000000000009E-3</v>
      </c>
      <c r="E18" s="3">
        <f xml:space="preserve"> E6 - '+0.0 seg'!$E$6</f>
        <v>0</v>
      </c>
      <c r="F18" s="3">
        <f xml:space="preserve"> F6 - '+0.0 seg'!$F$6</f>
        <v>2.9999999999999888E-3</v>
      </c>
      <c r="G18" s="3">
        <f xml:space="preserve"> G6 - '+0.0 seg'!$G$6</f>
        <v>1.0999999999999982E-2</v>
      </c>
      <c r="H18" s="3">
        <f xml:space="preserve"> H6 - '+0.0 seg'!$H$6</f>
        <v>2.9999999999999888E-3</v>
      </c>
      <c r="I18" s="3">
        <f xml:space="preserve"> I6 - '+0.0 seg'!$I$6</f>
        <v>1.0000000000000009E-3</v>
      </c>
      <c r="J18" s="3">
        <f xml:space="preserve"> J6 - '+0.0 seg'!$J$6</f>
        <v>0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0</v>
      </c>
    </row>
    <row r="19" spans="1:13" x14ac:dyDescent="0.3">
      <c r="A19" t="s">
        <v>17</v>
      </c>
      <c r="B19" s="3">
        <f xml:space="preserve"> B7 - '+0.0 seg'!$B$7</f>
        <v>3.0000000000000027E-3</v>
      </c>
      <c r="C19" s="3">
        <f xml:space="preserve"> C7 - '+0.0 seg'!$C$7</f>
        <v>-5.0000000000000044E-3</v>
      </c>
      <c r="D19" s="3">
        <f xml:space="preserve"> D7 - '+0.0 seg'!$D$7</f>
        <v>3.0000000000000027E-3</v>
      </c>
      <c r="E19" s="3">
        <f xml:space="preserve"> E7 - '+0.0 seg'!$E$7</f>
        <v>4.0000000000000036E-3</v>
      </c>
      <c r="F19" s="3">
        <f xml:space="preserve"> F7 - '+0.0 seg'!$F$7</f>
        <v>7.9999999999999932E-3</v>
      </c>
      <c r="G19" s="3">
        <f xml:space="preserve"> G7 - '+0.0 seg'!$G$7</f>
        <v>1.0000000000000009E-2</v>
      </c>
      <c r="H19" s="3">
        <f xml:space="preserve"> H7 - '+0.0 seg'!$H$7</f>
        <v>8.9999999999999941E-3</v>
      </c>
      <c r="I19" s="3">
        <f xml:space="preserve"> I7 - '+0.0 seg'!$I$7</f>
        <v>-5.0000000000000044E-3</v>
      </c>
      <c r="J19" s="3">
        <f xml:space="preserve"> J7 - '+0.0 seg'!$J$7</f>
        <v>0</v>
      </c>
      <c r="K19" s="3">
        <f xml:space="preserve"> K7 - '+0.0 seg'!$K$7</f>
        <v>0</v>
      </c>
      <c r="L19" s="3">
        <f xml:space="preserve"> L7 - '+0.0 seg'!$L$7</f>
        <v>5.0000000000000044E-3</v>
      </c>
      <c r="M19" s="3">
        <f xml:space="preserve"> M7 - '+0.0 seg'!$M$7</f>
        <v>-1.0000000000000009E-3</v>
      </c>
    </row>
    <row r="20" spans="1:13" x14ac:dyDescent="0.3">
      <c r="A20" t="s">
        <v>18</v>
      </c>
      <c r="B20" s="3">
        <f xml:space="preserve"> B8 - '+0.0 seg'!$B$8</f>
        <v>3.9999999999999897E-3</v>
      </c>
      <c r="C20" s="3">
        <f xml:space="preserve"> C8 - '+0.0 seg'!$C$8</f>
        <v>2.0000000000000018E-3</v>
      </c>
      <c r="D20" s="3">
        <f xml:space="preserve"> D8 - '+0.0 seg'!$D$8</f>
        <v>-2.0000000000000018E-3</v>
      </c>
      <c r="E20" s="3">
        <f xml:space="preserve"> E8 - '+0.0 seg'!$E$8</f>
        <v>2.0000000000000018E-3</v>
      </c>
      <c r="F20" s="3">
        <f xml:space="preserve"> F8 - '+0.0 seg'!$F$8</f>
        <v>5.0000000000000044E-3</v>
      </c>
      <c r="G20" s="3">
        <f xml:space="preserve"> G8 - '+0.0 seg'!$G$8</f>
        <v>2.0000000000000018E-3</v>
      </c>
      <c r="H20" s="3">
        <f xml:space="preserve"> H8 - '+0.0 seg'!$H$8</f>
        <v>4.0000000000000036E-3</v>
      </c>
      <c r="I20" s="3">
        <f xml:space="preserve"> I8 - '+0.0 seg'!$I$8</f>
        <v>-1.9999999999999948E-3</v>
      </c>
      <c r="J20" s="3">
        <f xml:space="preserve"> J8 - '+0.0 seg'!$J$8</f>
        <v>-9.9999999999999395E-4</v>
      </c>
      <c r="K20" s="3">
        <f xml:space="preserve"> K8 - '+0.0 seg'!$K$8</f>
        <v>0</v>
      </c>
      <c r="L20" s="3">
        <f xml:space="preserve"> L8 - '+0.0 seg'!$L$8</f>
        <v>-3.0000000000000027E-3</v>
      </c>
      <c r="M20" s="3">
        <f xml:space="preserve"> M8 - '+0.0 seg'!$M$8</f>
        <v>1.0000000000000009E-3</v>
      </c>
    </row>
    <row r="21" spans="1:13" x14ac:dyDescent="0.3">
      <c r="A21" t="s">
        <v>19</v>
      </c>
      <c r="B21" s="3">
        <f xml:space="preserve"> B9 - '+0.0 seg'!$B$9</f>
        <v>1.0000000000000009E-3</v>
      </c>
      <c r="C21" s="3">
        <f xml:space="preserve"> C9 - '+0.0 seg'!$C$9</f>
        <v>6.0000000000000053E-3</v>
      </c>
      <c r="D21" s="3">
        <f xml:space="preserve"> D9 - '+0.0 seg'!$D$9</f>
        <v>3.9999999999999897E-3</v>
      </c>
      <c r="E21" s="3">
        <f xml:space="preserve"> E9 - '+0.0 seg'!$E$9</f>
        <v>3.0000000000000027E-3</v>
      </c>
      <c r="F21" s="3">
        <f xml:space="preserve"> F9 - '+0.0 seg'!$F$9</f>
        <v>3.9999999999999897E-3</v>
      </c>
      <c r="G21" s="3">
        <f xml:space="preserve"> G9 - '+0.0 seg'!$G$9</f>
        <v>6.9999999999999923E-3</v>
      </c>
      <c r="H21" s="3">
        <f xml:space="preserve"> H9 - '+0.0 seg'!$H$9</f>
        <v>0</v>
      </c>
      <c r="I21" s="3">
        <f xml:space="preserve"> I9 - '+0.0 seg'!$I$9</f>
        <v>1.0000000000000009E-3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</row>
    <row r="22" spans="1:13" x14ac:dyDescent="0.3">
      <c r="A22" t="s">
        <v>20</v>
      </c>
      <c r="B22" s="3">
        <f xml:space="preserve"> B10 - '+0.0 seg'!$B$10</f>
        <v>-1.3000000000000012E-2</v>
      </c>
      <c r="C22" s="3">
        <f xml:space="preserve"> C10 - '+0.0 seg'!$C$10</f>
        <v>1.7000000000000015E-2</v>
      </c>
      <c r="D22" s="3">
        <f xml:space="preserve"> D10 - '+0.0 seg'!$D$10</f>
        <v>-1.0000000000000009E-3</v>
      </c>
      <c r="E22" s="3">
        <f xml:space="preserve"> E10 - '+0.0 seg'!$E$10</f>
        <v>0</v>
      </c>
      <c r="F22" s="3">
        <f xml:space="preserve"> F10 - '+0.0 seg'!$F$10</f>
        <v>2.0999999999999991E-2</v>
      </c>
      <c r="G22" s="3">
        <f xml:space="preserve"> G10 - '+0.0 seg'!$G$10</f>
        <v>6.0000000000000053E-3</v>
      </c>
      <c r="H22" s="3">
        <f xml:space="preserve"> H10 - '+0.0 seg'!$H$10</f>
        <v>1.0000000000000009E-3</v>
      </c>
      <c r="I22" s="3">
        <f xml:space="preserve"> I10 - '+0.0 seg'!$I$10</f>
        <v>1.0000000000000009E-3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1.0000000000000009E-3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9.9999999999999395E-4</v>
      </c>
      <c r="C26" s="3">
        <f>STDEV(B15:C15)</f>
        <v>1.4142135623730866E-3</v>
      </c>
      <c r="D26" s="3">
        <f t="shared" ref="D26:L33" si="0">AVERAGE(D15:E15)</f>
        <v>6.9388939039072284E-18</v>
      </c>
      <c r="E26" s="3">
        <f>STDEV(D15:E15)</f>
        <v>7.0710678118654719E-3</v>
      </c>
      <c r="F26" s="3">
        <f t="shared" si="0"/>
        <v>1.4999999999999944E-3</v>
      </c>
      <c r="G26" s="3">
        <f>STDEV(F15:G15)</f>
        <v>3.5355339059327307E-3</v>
      </c>
      <c r="H26" s="3">
        <f t="shared" si="0"/>
        <v>5.0000000000000044E-4</v>
      </c>
      <c r="I26" s="3">
        <f>STDEV(H15:I15)</f>
        <v>7.0710678118654816E-4</v>
      </c>
      <c r="J26" s="3">
        <f t="shared" si="0"/>
        <v>-1.4999999999999979E-3</v>
      </c>
      <c r="K26" s="3">
        <f>STDEV(J15:K15)</f>
        <v>3.5355339059327355E-3</v>
      </c>
      <c r="L26" s="3">
        <f t="shared" ref="L26:M26" si="1">AVERAGE(L15:M15)</f>
        <v>0</v>
      </c>
      <c r="M26" s="3">
        <f>STDEV(L15:M15)</f>
        <v>0</v>
      </c>
    </row>
    <row r="27" spans="1:13" x14ac:dyDescent="0.3">
      <c r="A27" t="s">
        <v>14</v>
      </c>
      <c r="B27" s="3">
        <f t="shared" ref="B27:B33" si="2">AVERAGE(B16:C16)</f>
        <v>9.9999999999998701E-4</v>
      </c>
      <c r="C27" s="3">
        <f t="shared" ref="C27:E33" si="3">STDEV(B16:C16)</f>
        <v>1.962615573354719E-17</v>
      </c>
      <c r="D27" s="3">
        <f t="shared" si="0"/>
        <v>2.9999999999999957E-3</v>
      </c>
      <c r="E27" s="3">
        <f t="shared" si="3"/>
        <v>9.8130778667735948E-18</v>
      </c>
      <c r="F27" s="3">
        <f t="shared" si="0"/>
        <v>4.0000000000000036E-3</v>
      </c>
      <c r="G27" s="3">
        <f t="shared" ref="G27:G33" si="4">STDEV(F16:G16)</f>
        <v>1.4142135623730963E-3</v>
      </c>
      <c r="H27" s="3">
        <f t="shared" si="0"/>
        <v>4.500000000000004E-3</v>
      </c>
      <c r="I27" s="3">
        <f t="shared" ref="I27:I33" si="5">STDEV(H16:I16)</f>
        <v>2.1213203435596446E-3</v>
      </c>
      <c r="J27" s="3">
        <f t="shared" si="0"/>
        <v>1.0000000000000009E-3</v>
      </c>
      <c r="K27" s="3">
        <f t="shared" ref="K27:K33" si="6">STDEV(J16:K16)</f>
        <v>1.4142135623730963E-3</v>
      </c>
      <c r="L27" s="3">
        <f t="shared" si="0"/>
        <v>-5.0000000000000044E-4</v>
      </c>
      <c r="M27" s="3">
        <f t="shared" ref="M27:M33" si="7">STDEV(L16:M16)</f>
        <v>7.0710678118654816E-4</v>
      </c>
    </row>
    <row r="28" spans="1:13" x14ac:dyDescent="0.3">
      <c r="A28" t="s">
        <v>15</v>
      </c>
      <c r="B28" s="3">
        <f t="shared" si="2"/>
        <v>4.500000000000004E-3</v>
      </c>
      <c r="C28" s="3">
        <f t="shared" si="3"/>
        <v>3.5355339059327411E-3</v>
      </c>
      <c r="D28" s="3">
        <f t="shared" si="0"/>
        <v>1.5000000000000013E-3</v>
      </c>
      <c r="E28" s="3">
        <f t="shared" si="3"/>
        <v>3.5355339059327407E-3</v>
      </c>
      <c r="F28" s="3">
        <f t="shared" si="0"/>
        <v>-2.0000000000000087E-3</v>
      </c>
      <c r="G28" s="3">
        <f t="shared" si="4"/>
        <v>7.0710678118654719E-3</v>
      </c>
      <c r="H28" s="3">
        <f t="shared" si="0"/>
        <v>-5.0000000000000044E-4</v>
      </c>
      <c r="I28" s="3">
        <f t="shared" si="5"/>
        <v>7.7781745930520299E-3</v>
      </c>
      <c r="J28" s="3">
        <f t="shared" si="0"/>
        <v>0</v>
      </c>
      <c r="K28" s="3">
        <f t="shared" si="6"/>
        <v>0</v>
      </c>
      <c r="L28" s="3">
        <f t="shared" si="0"/>
        <v>0</v>
      </c>
      <c r="M28" s="3">
        <f t="shared" si="7"/>
        <v>0</v>
      </c>
    </row>
    <row r="29" spans="1:13" x14ac:dyDescent="0.3">
      <c r="A29" t="s">
        <v>16</v>
      </c>
      <c r="B29" s="3">
        <f t="shared" si="2"/>
        <v>5.499999999999991E-3</v>
      </c>
      <c r="C29" s="3">
        <f t="shared" si="3"/>
        <v>7.0710678118656779E-4</v>
      </c>
      <c r="D29" s="3">
        <f t="shared" si="0"/>
        <v>5.0000000000000044E-4</v>
      </c>
      <c r="E29" s="3">
        <f t="shared" si="3"/>
        <v>7.0710678118654816E-4</v>
      </c>
      <c r="F29" s="3">
        <f t="shared" si="0"/>
        <v>6.9999999999999854E-3</v>
      </c>
      <c r="G29" s="3">
        <f t="shared" si="4"/>
        <v>5.6568542494923749E-3</v>
      </c>
      <c r="H29" s="3">
        <f t="shared" si="0"/>
        <v>1.9999999999999948E-3</v>
      </c>
      <c r="I29" s="3">
        <f t="shared" si="5"/>
        <v>1.4142135623730866E-3</v>
      </c>
      <c r="J29" s="3">
        <f t="shared" si="0"/>
        <v>0</v>
      </c>
      <c r="K29" s="3">
        <f t="shared" si="6"/>
        <v>0</v>
      </c>
      <c r="L29" s="3">
        <f t="shared" si="0"/>
        <v>0</v>
      </c>
      <c r="M29" s="3">
        <f t="shared" si="7"/>
        <v>0</v>
      </c>
    </row>
    <row r="30" spans="1:13" x14ac:dyDescent="0.3">
      <c r="A30" t="s">
        <v>17</v>
      </c>
      <c r="B30" s="3">
        <f t="shared" si="2"/>
        <v>-1.0000000000000009E-3</v>
      </c>
      <c r="C30" s="3">
        <f t="shared" si="3"/>
        <v>5.6568542494923853E-3</v>
      </c>
      <c r="D30" s="3">
        <f t="shared" si="0"/>
        <v>3.5000000000000031E-3</v>
      </c>
      <c r="E30" s="3">
        <f t="shared" si="3"/>
        <v>7.0710678118654816E-4</v>
      </c>
      <c r="F30" s="3">
        <f t="shared" si="0"/>
        <v>9.0000000000000011E-3</v>
      </c>
      <c r="G30" s="3">
        <f t="shared" si="4"/>
        <v>1.4142135623731061E-3</v>
      </c>
      <c r="H30" s="3">
        <f t="shared" si="0"/>
        <v>1.9999999999999948E-3</v>
      </c>
      <c r="I30" s="3">
        <f t="shared" si="5"/>
        <v>9.899494936611665E-3</v>
      </c>
      <c r="J30" s="3">
        <f t="shared" si="0"/>
        <v>0</v>
      </c>
      <c r="K30" s="3">
        <f t="shared" si="6"/>
        <v>0</v>
      </c>
      <c r="L30" s="3">
        <f t="shared" si="0"/>
        <v>2.0000000000000018E-3</v>
      </c>
      <c r="M30" s="3">
        <f t="shared" si="7"/>
        <v>4.2426406871192892E-3</v>
      </c>
    </row>
    <row r="31" spans="1:13" x14ac:dyDescent="0.3">
      <c r="A31" t="s">
        <v>18</v>
      </c>
      <c r="B31" s="3">
        <f t="shared" si="2"/>
        <v>2.9999999999999957E-3</v>
      </c>
      <c r="C31" s="3">
        <f t="shared" si="3"/>
        <v>1.4142135623730866E-3</v>
      </c>
      <c r="D31" s="3">
        <f t="shared" si="0"/>
        <v>0</v>
      </c>
      <c r="E31" s="3">
        <f t="shared" si="3"/>
        <v>2.8284271247461927E-3</v>
      </c>
      <c r="F31" s="3">
        <f t="shared" si="0"/>
        <v>3.5000000000000031E-3</v>
      </c>
      <c r="G31" s="3">
        <f t="shared" si="4"/>
        <v>2.121320343559645E-3</v>
      </c>
      <c r="H31" s="3">
        <f t="shared" si="0"/>
        <v>1.0000000000000044E-3</v>
      </c>
      <c r="I31" s="3">
        <f t="shared" si="5"/>
        <v>4.242640687119284E-3</v>
      </c>
      <c r="J31" s="3">
        <f t="shared" si="0"/>
        <v>-4.9999999999999697E-4</v>
      </c>
      <c r="K31" s="3">
        <f t="shared" si="6"/>
        <v>7.0710678118654328E-4</v>
      </c>
      <c r="L31" s="3">
        <f t="shared" si="0"/>
        <v>-1.0000000000000009E-3</v>
      </c>
      <c r="M31" s="3">
        <f t="shared" si="7"/>
        <v>2.8284271247461927E-3</v>
      </c>
    </row>
    <row r="32" spans="1:13" x14ac:dyDescent="0.3">
      <c r="A32" t="s">
        <v>19</v>
      </c>
      <c r="B32" s="3">
        <f t="shared" si="2"/>
        <v>3.5000000000000031E-3</v>
      </c>
      <c r="C32" s="3">
        <f t="shared" si="3"/>
        <v>3.5355339059327407E-3</v>
      </c>
      <c r="D32" s="3">
        <f t="shared" si="0"/>
        <v>3.4999999999999962E-3</v>
      </c>
      <c r="E32" s="3">
        <f t="shared" si="3"/>
        <v>7.0710678118653841E-4</v>
      </c>
      <c r="F32" s="3">
        <f t="shared" si="0"/>
        <v>5.499999999999991E-3</v>
      </c>
      <c r="G32" s="3">
        <f t="shared" si="4"/>
        <v>2.1213203435596446E-3</v>
      </c>
      <c r="H32" s="3">
        <f t="shared" si="0"/>
        <v>5.0000000000000044E-4</v>
      </c>
      <c r="I32" s="3">
        <f t="shared" si="5"/>
        <v>7.0710678118654816E-4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0</v>
      </c>
      <c r="M32" s="3">
        <f t="shared" si="7"/>
        <v>0</v>
      </c>
    </row>
    <row r="33" spans="1:13" x14ac:dyDescent="0.3">
      <c r="A33" t="s">
        <v>20</v>
      </c>
      <c r="B33" s="3">
        <f t="shared" si="2"/>
        <v>2.0000000000000018E-3</v>
      </c>
      <c r="C33" s="3">
        <f t="shared" si="3"/>
        <v>2.1213203435596444E-2</v>
      </c>
      <c r="D33" s="3">
        <f t="shared" si="0"/>
        <v>-5.0000000000000044E-4</v>
      </c>
      <c r="E33" s="3">
        <f t="shared" si="3"/>
        <v>7.0710678118654816E-4</v>
      </c>
      <c r="F33" s="3">
        <f t="shared" si="0"/>
        <v>1.3499999999999998E-2</v>
      </c>
      <c r="G33" s="3">
        <f t="shared" si="4"/>
        <v>1.0606601717798201E-2</v>
      </c>
      <c r="H33" s="3">
        <f t="shared" si="0"/>
        <v>1.0000000000000009E-3</v>
      </c>
      <c r="I33" s="3">
        <f t="shared" si="5"/>
        <v>0</v>
      </c>
      <c r="J33" s="3">
        <f t="shared" si="0"/>
        <v>0</v>
      </c>
      <c r="K33" s="3">
        <f t="shared" si="6"/>
        <v>0</v>
      </c>
      <c r="L33" s="3">
        <f t="shared" si="0"/>
        <v>5.0000000000000044E-4</v>
      </c>
      <c r="M33" s="3">
        <f t="shared" si="7"/>
        <v>7.0710678118654816E-4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3"/>
  <sheetViews>
    <sheetView workbookViewId="0">
      <selection activeCell="A25" sqref="A25:M33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</v>
      </c>
      <c r="C3">
        <v>8.7999999999999995E-2</v>
      </c>
      <c r="D3">
        <v>7.9000000000000001E-2</v>
      </c>
      <c r="E3">
        <v>9.4E-2</v>
      </c>
      <c r="F3">
        <v>0.14699999999999999</v>
      </c>
      <c r="G3">
        <v>0.12</v>
      </c>
      <c r="H3">
        <v>8.3000000000000004E-2</v>
      </c>
      <c r="I3">
        <v>6.3E-2</v>
      </c>
      <c r="J3">
        <v>5.0999999999999997E-2</v>
      </c>
      <c r="K3">
        <v>4.8000000000000001E-2</v>
      </c>
      <c r="L3">
        <v>0.12</v>
      </c>
      <c r="M3">
        <v>9.1999999999999998E-2</v>
      </c>
    </row>
    <row r="4" spans="1:13" x14ac:dyDescent="0.3">
      <c r="A4" t="s">
        <v>14</v>
      </c>
      <c r="B4">
        <v>0.13</v>
      </c>
      <c r="C4">
        <v>0.14199999999999999</v>
      </c>
      <c r="D4">
        <v>0.08</v>
      </c>
      <c r="E4">
        <v>0.09</v>
      </c>
      <c r="F4">
        <v>0.152</v>
      </c>
      <c r="G4">
        <v>0.13100000000000001</v>
      </c>
      <c r="H4">
        <v>9.7000000000000003E-2</v>
      </c>
      <c r="I4">
        <v>9.5000000000000001E-2</v>
      </c>
      <c r="J4">
        <v>6.0999999999999999E-2</v>
      </c>
      <c r="K4">
        <v>5.3999999999999999E-2</v>
      </c>
      <c r="L4">
        <v>9.2999999999999999E-2</v>
      </c>
      <c r="M4">
        <v>0.111</v>
      </c>
    </row>
    <row r="5" spans="1:13" x14ac:dyDescent="0.3">
      <c r="A5" t="s">
        <v>15</v>
      </c>
      <c r="B5">
        <v>0.14299999999999999</v>
      </c>
      <c r="C5">
        <v>0.14899999999999999</v>
      </c>
      <c r="D5">
        <v>8.5000000000000006E-2</v>
      </c>
      <c r="E5">
        <v>7.9000000000000001E-2</v>
      </c>
      <c r="F5">
        <v>0.104</v>
      </c>
      <c r="G5">
        <v>0.109</v>
      </c>
      <c r="H5">
        <v>0.08</v>
      </c>
      <c r="I5">
        <v>6.3E-2</v>
      </c>
      <c r="J5">
        <v>9.2999999999999999E-2</v>
      </c>
      <c r="K5">
        <v>0.11799999999999999</v>
      </c>
      <c r="L5">
        <v>0.114</v>
      </c>
      <c r="M5">
        <v>0.107</v>
      </c>
    </row>
    <row r="6" spans="1:13" x14ac:dyDescent="0.3">
      <c r="A6" t="s">
        <v>16</v>
      </c>
      <c r="B6">
        <v>0.17599999999999999</v>
      </c>
      <c r="C6">
        <v>0.19</v>
      </c>
      <c r="D6">
        <v>8.3000000000000004E-2</v>
      </c>
      <c r="E6">
        <v>9.1999999999999998E-2</v>
      </c>
      <c r="F6">
        <v>0.12</v>
      </c>
      <c r="G6">
        <v>0.21099999999999999</v>
      </c>
      <c r="H6">
        <v>7.0999999999999994E-2</v>
      </c>
      <c r="I6">
        <v>0.109</v>
      </c>
      <c r="J6">
        <v>8.3000000000000004E-2</v>
      </c>
      <c r="K6">
        <v>8.4000000000000005E-2</v>
      </c>
      <c r="L6">
        <v>0.10100000000000001</v>
      </c>
      <c r="M6">
        <v>9.7000000000000003E-2</v>
      </c>
    </row>
    <row r="7" spans="1:13" x14ac:dyDescent="0.3">
      <c r="A7" t="s">
        <v>17</v>
      </c>
      <c r="B7">
        <v>0.13600000000000001</v>
      </c>
      <c r="C7">
        <v>0.14799999999999999</v>
      </c>
      <c r="D7">
        <v>8.3000000000000004E-2</v>
      </c>
      <c r="E7">
        <v>9.2999999999999999E-2</v>
      </c>
      <c r="F7">
        <v>0.121</v>
      </c>
      <c r="G7">
        <v>0.114</v>
      </c>
      <c r="H7">
        <v>0.105</v>
      </c>
      <c r="I7">
        <v>7.8E-2</v>
      </c>
      <c r="J7">
        <v>6.9000000000000006E-2</v>
      </c>
      <c r="K7">
        <v>6.9000000000000006E-2</v>
      </c>
      <c r="L7">
        <v>0.65800000000000003</v>
      </c>
      <c r="M7">
        <v>9.6000000000000002E-2</v>
      </c>
    </row>
    <row r="8" spans="1:13" x14ac:dyDescent="0.3">
      <c r="A8" t="s">
        <v>18</v>
      </c>
      <c r="B8">
        <v>0.121</v>
      </c>
      <c r="C8">
        <v>9.2999999999999999E-2</v>
      </c>
      <c r="D8">
        <v>7.6999999999999999E-2</v>
      </c>
      <c r="E8">
        <v>7.6999999999999999E-2</v>
      </c>
      <c r="F8">
        <v>0.104</v>
      </c>
      <c r="G8">
        <v>8.1000000000000003E-2</v>
      </c>
      <c r="H8">
        <v>0.08</v>
      </c>
      <c r="I8">
        <v>5.7000000000000002E-2</v>
      </c>
      <c r="J8">
        <v>0.05</v>
      </c>
      <c r="K8">
        <v>6.2E-2</v>
      </c>
      <c r="L8">
        <v>0.36799999999999999</v>
      </c>
      <c r="M8">
        <v>9.8000000000000004E-2</v>
      </c>
    </row>
    <row r="9" spans="1:13" x14ac:dyDescent="0.3">
      <c r="A9" t="s">
        <v>19</v>
      </c>
      <c r="B9">
        <v>0.154</v>
      </c>
      <c r="C9">
        <v>0.16900000000000001</v>
      </c>
      <c r="D9">
        <v>0.104</v>
      </c>
      <c r="E9">
        <v>0.107</v>
      </c>
      <c r="F9">
        <v>0.12</v>
      </c>
      <c r="G9">
        <v>0.106</v>
      </c>
      <c r="H9">
        <v>7.0999999999999994E-2</v>
      </c>
      <c r="I9">
        <v>7.4999999999999997E-2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3">
      <c r="A10" t="s">
        <v>20</v>
      </c>
      <c r="B10">
        <v>0.21299999999999999</v>
      </c>
      <c r="C10">
        <v>0.223</v>
      </c>
      <c r="D10">
        <v>0.104</v>
      </c>
      <c r="E10">
        <v>0.113</v>
      </c>
      <c r="F10">
        <v>0.248</v>
      </c>
      <c r="G10">
        <v>0.16500000000000001</v>
      </c>
      <c r="H10">
        <v>0.1</v>
      </c>
      <c r="I10">
        <v>9.2999999999999999E-2</v>
      </c>
      <c r="J10">
        <v>9.6000000000000002E-2</v>
      </c>
      <c r="K10">
        <v>0.125</v>
      </c>
      <c r="L10">
        <v>0.125</v>
      </c>
      <c r="M10">
        <v>9.7000000000000003E-2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2.0000000000000018E-3</v>
      </c>
      <c r="C15" s="3">
        <f xml:space="preserve"> C3 - '+0.0 seg'!$C$3</f>
        <v>2.9999999999999888E-3</v>
      </c>
      <c r="D15" s="3">
        <f xml:space="preserve"> D3 - '+0.0 seg'!$D$3</f>
        <v>6.0000000000000053E-3</v>
      </c>
      <c r="E15" s="3">
        <f xml:space="preserve"> E3 - '+0.0 seg'!$E$3</f>
        <v>7.0000000000000062E-3</v>
      </c>
      <c r="F15" s="3">
        <f xml:space="preserve"> F3 - '+0.0 seg'!$F$3</f>
        <v>0</v>
      </c>
      <c r="G15" s="3">
        <f xml:space="preserve"> G3 - '+0.0 seg'!$G$3</f>
        <v>4.9999999999999906E-3</v>
      </c>
      <c r="H15" s="3">
        <f xml:space="preserve"> H3 - '+0.0 seg'!$H$3</f>
        <v>0</v>
      </c>
      <c r="I15" s="3">
        <f xml:space="preserve"> I3 - '+0.0 seg'!$I$3</f>
        <v>2.0000000000000018E-3</v>
      </c>
      <c r="J15" s="3">
        <f xml:space="preserve"> J3 - '+0.0 seg'!$J$3</f>
        <v>0</v>
      </c>
      <c r="K15" s="3">
        <f xml:space="preserve"> K3 - '+0.0 seg'!$K$3</f>
        <v>-3.9999999999999966E-3</v>
      </c>
      <c r="L15" s="3">
        <f xml:space="preserve"> L3 - '+0.0 seg'!$L$3</f>
        <v>0</v>
      </c>
      <c r="M15" s="3">
        <f xml:space="preserve"> M3 - '+0.0 seg'!$M$3</f>
        <v>0</v>
      </c>
    </row>
    <row r="16" spans="1:13" x14ac:dyDescent="0.3">
      <c r="A16" t="s">
        <v>14</v>
      </c>
      <c r="B16" s="3">
        <f xml:space="preserve"> B4 - '+0.0 seg'!$B$4</f>
        <v>2.0000000000000018E-3</v>
      </c>
      <c r="C16" s="3">
        <f xml:space="preserve"> C4 - '+0.0 seg'!$C$4</f>
        <v>1.999999999999974E-3</v>
      </c>
      <c r="D16" s="3">
        <f xml:space="preserve"> D4 - '+0.0 seg'!$D$4</f>
        <v>4.0000000000000036E-3</v>
      </c>
      <c r="E16" s="3">
        <f xml:space="preserve"> E4 - '+0.0 seg'!$E$4</f>
        <v>5.9999999999999915E-3</v>
      </c>
      <c r="F16" s="3">
        <f xml:space="preserve"> F4 - '+0.0 seg'!$F$4</f>
        <v>6.0000000000000053E-3</v>
      </c>
      <c r="G16" s="3">
        <f xml:space="preserve"> G4 - '+0.0 seg'!$G$4</f>
        <v>4.0000000000000036E-3</v>
      </c>
      <c r="H16" s="3">
        <f xml:space="preserve"> H4 - '+0.0 seg'!$H$4</f>
        <v>6.0000000000000053E-3</v>
      </c>
      <c r="I16" s="3">
        <f xml:space="preserve"> I4 - '+0.0 seg'!$I$4</f>
        <v>3.0000000000000027E-3</v>
      </c>
      <c r="J16" s="3">
        <f xml:space="preserve"> J4 - '+0.0 seg'!$J$4</f>
        <v>-1.0000000000000009E-3</v>
      </c>
      <c r="K16" s="3">
        <f xml:space="preserve"> K4 - '+0.0 seg'!$K$4</f>
        <v>2.0000000000000018E-3</v>
      </c>
      <c r="L16" s="3">
        <f xml:space="preserve"> L4 - '+0.0 seg'!$L$4</f>
        <v>-1.0000000000000009E-3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2.0000000000000018E-3</v>
      </c>
      <c r="C17" s="3">
        <f xml:space="preserve"> C5 - '+0.0 seg'!$C$5</f>
        <v>7.0000000000000062E-3</v>
      </c>
      <c r="D17" s="3">
        <f xml:space="preserve"> D5 - '+0.0 seg'!$D$5</f>
        <v>5.0000000000000044E-3</v>
      </c>
      <c r="E17" s="3">
        <f xml:space="preserve"> E5 - '+0.0 seg'!$E$5</f>
        <v>-1.0000000000000009E-3</v>
      </c>
      <c r="F17" s="3">
        <f xml:space="preserve"> F5 - '+0.0 seg'!$F$5</f>
        <v>2.9999999999999888E-3</v>
      </c>
      <c r="G17" s="3">
        <f xml:space="preserve"> G5 - '+0.0 seg'!$G$5</f>
        <v>-7.0000000000000062E-3</v>
      </c>
      <c r="H17" s="3">
        <f xml:space="preserve"> H5 - '+0.0 seg'!$H$5</f>
        <v>5.0000000000000044E-3</v>
      </c>
      <c r="I17" s="3">
        <f xml:space="preserve"> I5 - '+0.0 seg'!$I$5</f>
        <v>-6.0000000000000053E-3</v>
      </c>
      <c r="J17" s="3">
        <f xml:space="preserve"> J5 - '+0.0 seg'!$J$5</f>
        <v>-1.0000000000000009E-3</v>
      </c>
      <c r="K17" s="3">
        <f xml:space="preserve"> K5 - '+0.0 seg'!$K$5</f>
        <v>0</v>
      </c>
      <c r="L17" s="3">
        <f xml:space="preserve"> L5 - '+0.0 seg'!$L$5</f>
        <v>0</v>
      </c>
      <c r="M17" s="3">
        <f xml:space="preserve"> M5 - '+0.0 seg'!$M$5</f>
        <v>0</v>
      </c>
    </row>
    <row r="18" spans="1:13" x14ac:dyDescent="0.3">
      <c r="A18" t="s">
        <v>16</v>
      </c>
      <c r="B18" s="3">
        <f xml:space="preserve"> B6 - '+0.0 seg'!$B$6</f>
        <v>4.9999999999999767E-3</v>
      </c>
      <c r="C18" s="3">
        <f xml:space="preserve"> C6 - '+0.0 seg'!$C$6</f>
        <v>6.0000000000000053E-3</v>
      </c>
      <c r="D18" s="3">
        <f xml:space="preserve"> D6 - '+0.0 seg'!$D$6</f>
        <v>1.0000000000000009E-3</v>
      </c>
      <c r="E18" s="3">
        <f xml:space="preserve"> E6 - '+0.0 seg'!$E$6</f>
        <v>1.0000000000000009E-3</v>
      </c>
      <c r="F18" s="3">
        <f xml:space="preserve"> F6 - '+0.0 seg'!$F$6</f>
        <v>2.9999999999999888E-3</v>
      </c>
      <c r="G18" s="3">
        <f xml:space="preserve"> G6 - '+0.0 seg'!$G$6</f>
        <v>1.1999999999999983E-2</v>
      </c>
      <c r="H18" s="3">
        <f xml:space="preserve"> H6 - '+0.0 seg'!$H$6</f>
        <v>2.9999999999999888E-3</v>
      </c>
      <c r="I18" s="3">
        <f xml:space="preserve"> I6 - '+0.0 seg'!$I$6</f>
        <v>0</v>
      </c>
      <c r="J18" s="3">
        <f xml:space="preserve"> J6 - '+0.0 seg'!$J$6</f>
        <v>0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0</v>
      </c>
    </row>
    <row r="19" spans="1:13" x14ac:dyDescent="0.3">
      <c r="A19" t="s">
        <v>17</v>
      </c>
      <c r="B19" s="3">
        <f xml:space="preserve"> B7 - '+0.0 seg'!$B$7</f>
        <v>2.0000000000000018E-3</v>
      </c>
      <c r="C19" s="3">
        <f xml:space="preserve"> C7 - '+0.0 seg'!$C$7</f>
        <v>-3.0000000000000027E-3</v>
      </c>
      <c r="D19" s="3">
        <f xml:space="preserve"> D7 - '+0.0 seg'!$D$7</f>
        <v>3.0000000000000027E-3</v>
      </c>
      <c r="E19" s="3">
        <f xml:space="preserve"> E7 - '+0.0 seg'!$E$7</f>
        <v>5.0000000000000044E-3</v>
      </c>
      <c r="F19" s="3">
        <f xml:space="preserve"> F7 - '+0.0 seg'!$F$7</f>
        <v>8.9999999999999941E-3</v>
      </c>
      <c r="G19" s="3">
        <f xml:space="preserve"> G7 - '+0.0 seg'!$G$7</f>
        <v>1.100000000000001E-2</v>
      </c>
      <c r="H19" s="3">
        <f xml:space="preserve"> H7 - '+0.0 seg'!$H$7</f>
        <v>1.0999999999999996E-2</v>
      </c>
      <c r="I19" s="3">
        <f xml:space="preserve"> I7 - '+0.0 seg'!$I$7</f>
        <v>-6.0000000000000053E-3</v>
      </c>
      <c r="J19" s="3">
        <f xml:space="preserve"> J7 - '+0.0 seg'!$J$7</f>
        <v>0</v>
      </c>
      <c r="K19" s="3">
        <f xml:space="preserve"> K7 - '+0.0 seg'!$K$7</f>
        <v>0</v>
      </c>
      <c r="L19" s="3">
        <f xml:space="preserve"> L7 - '+0.0 seg'!$L$7</f>
        <v>1.5000000000000013E-2</v>
      </c>
      <c r="M19" s="3">
        <f xml:space="preserve"> M7 - '+0.0 seg'!$M$7</f>
        <v>-1.0000000000000009E-3</v>
      </c>
    </row>
    <row r="20" spans="1:13" x14ac:dyDescent="0.3">
      <c r="A20" t="s">
        <v>18</v>
      </c>
      <c r="B20" s="3">
        <f xml:space="preserve"> B8 - '+0.0 seg'!$B$8</f>
        <v>4.9999999999999906E-3</v>
      </c>
      <c r="C20" s="3">
        <f xml:space="preserve"> C8 - '+0.0 seg'!$C$8</f>
        <v>2.0000000000000018E-3</v>
      </c>
      <c r="D20" s="3">
        <f xml:space="preserve"> D8 - '+0.0 seg'!$D$8</f>
        <v>-2.0000000000000018E-3</v>
      </c>
      <c r="E20" s="3">
        <f xml:space="preserve"> E8 - '+0.0 seg'!$E$8</f>
        <v>2.0000000000000018E-3</v>
      </c>
      <c r="F20" s="3">
        <f xml:space="preserve"> F8 - '+0.0 seg'!$F$8</f>
        <v>7.9999999999999932E-3</v>
      </c>
      <c r="G20" s="3">
        <f xml:space="preserve"> G8 - '+0.0 seg'!$G$8</f>
        <v>2.0000000000000018E-3</v>
      </c>
      <c r="H20" s="3">
        <f xml:space="preserve"> H8 - '+0.0 seg'!$H$8</f>
        <v>4.0000000000000036E-3</v>
      </c>
      <c r="I20" s="3">
        <f xml:space="preserve"> I8 - '+0.0 seg'!$I$8</f>
        <v>-1.9999999999999948E-3</v>
      </c>
      <c r="J20" s="3">
        <f xml:space="preserve"> J8 - '+0.0 seg'!$J$8</f>
        <v>-9.9999999999999395E-4</v>
      </c>
      <c r="K20" s="3">
        <f xml:space="preserve"> K8 - '+0.0 seg'!$K$8</f>
        <v>0</v>
      </c>
      <c r="L20" s="3">
        <f xml:space="preserve"> L8 - '+0.0 seg'!$L$8</f>
        <v>-1.0000000000000009E-3</v>
      </c>
      <c r="M20" s="3">
        <f xml:space="preserve"> M8 - '+0.0 seg'!$M$8</f>
        <v>1.0000000000000009E-3</v>
      </c>
    </row>
    <row r="21" spans="1:13" x14ac:dyDescent="0.3">
      <c r="A21" t="s">
        <v>19</v>
      </c>
      <c r="B21" s="3">
        <f xml:space="preserve"> B9 - '+0.0 seg'!$B$9</f>
        <v>3.0000000000000027E-3</v>
      </c>
      <c r="C21" s="3">
        <f xml:space="preserve"> C9 - '+0.0 seg'!$C$9</f>
        <v>7.0000000000000062E-3</v>
      </c>
      <c r="D21" s="3">
        <f xml:space="preserve"> D9 - '+0.0 seg'!$D$9</f>
        <v>3.9999999999999897E-3</v>
      </c>
      <c r="E21" s="3">
        <f xml:space="preserve"> E9 - '+0.0 seg'!$E$9</f>
        <v>2.0000000000000018E-3</v>
      </c>
      <c r="F21" s="3">
        <f xml:space="preserve"> F9 - '+0.0 seg'!$F$9</f>
        <v>3.9999999999999897E-3</v>
      </c>
      <c r="G21" s="3">
        <f xml:space="preserve"> G9 - '+0.0 seg'!$G$9</f>
        <v>7.9999999999999932E-3</v>
      </c>
      <c r="H21" s="3">
        <f xml:space="preserve"> H9 - '+0.0 seg'!$H$9</f>
        <v>9.9999999999998701E-4</v>
      </c>
      <c r="I21" s="3">
        <f xml:space="preserve"> I9 - '+0.0 seg'!$I$9</f>
        <v>1.0000000000000009E-3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</row>
    <row r="22" spans="1:13" x14ac:dyDescent="0.3">
      <c r="A22" t="s">
        <v>20</v>
      </c>
      <c r="B22" s="3">
        <f xml:space="preserve"> B10 - '+0.0 seg'!$B$10</f>
        <v>-6.0000000000000053E-3</v>
      </c>
      <c r="C22" s="3">
        <f xml:space="preserve"> C10 - '+0.0 seg'!$C$10</f>
        <v>1.8000000000000016E-2</v>
      </c>
      <c r="D22" s="3">
        <f xml:space="preserve"> D10 - '+0.0 seg'!$D$10</f>
        <v>-1.0000000000000009E-3</v>
      </c>
      <c r="E22" s="3">
        <f xml:space="preserve"> E10 - '+0.0 seg'!$E$10</f>
        <v>1.0000000000000009E-3</v>
      </c>
      <c r="F22" s="3">
        <f xml:space="preserve"> F10 - '+0.0 seg'!$F$10</f>
        <v>2.1999999999999992E-2</v>
      </c>
      <c r="G22" s="3">
        <f xml:space="preserve"> G10 - '+0.0 seg'!$G$10</f>
        <v>6.0000000000000053E-3</v>
      </c>
      <c r="H22" s="3">
        <f xml:space="preserve"> H10 - '+0.0 seg'!$H$10</f>
        <v>3.0000000000000027E-3</v>
      </c>
      <c r="I22" s="3">
        <f xml:space="preserve"> I10 - '+0.0 seg'!$I$10</f>
        <v>1.0000000000000009E-3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1.0000000000000009E-3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2.4999999999999953E-3</v>
      </c>
      <c r="C26" s="3">
        <f>STDEV(B15:C15)</f>
        <v>7.0710678118653841E-4</v>
      </c>
      <c r="D26" s="3">
        <f t="shared" ref="D26:L33" si="0">AVERAGE(D15:E15)</f>
        <v>6.5000000000000058E-3</v>
      </c>
      <c r="E26" s="3">
        <f>STDEV(D15:E15)</f>
        <v>7.0710678118654816E-4</v>
      </c>
      <c r="F26" s="3">
        <f t="shared" si="0"/>
        <v>2.4999999999999953E-3</v>
      </c>
      <c r="G26" s="3">
        <f>STDEV(F15:G15)</f>
        <v>3.5355339059327312E-3</v>
      </c>
      <c r="H26" s="3">
        <f t="shared" si="0"/>
        <v>1.0000000000000009E-3</v>
      </c>
      <c r="I26" s="3">
        <f>STDEV(H15:I15)</f>
        <v>1.4142135623730963E-3</v>
      </c>
      <c r="J26" s="3">
        <f t="shared" si="0"/>
        <v>-1.9999999999999983E-3</v>
      </c>
      <c r="K26" s="3">
        <f>STDEV(J15:K15)</f>
        <v>2.8284271247461874E-3</v>
      </c>
      <c r="L26" s="3">
        <f t="shared" ref="L26:M26" si="1">AVERAGE(L15:M15)</f>
        <v>0</v>
      </c>
      <c r="M26" s="3">
        <f>STDEV(L15:M15)</f>
        <v>0</v>
      </c>
    </row>
    <row r="27" spans="1:13" x14ac:dyDescent="0.3">
      <c r="A27" t="s">
        <v>14</v>
      </c>
      <c r="B27" s="3">
        <f t="shared" ref="B27:B33" si="2">AVERAGE(B16:C16)</f>
        <v>1.9999999999999879E-3</v>
      </c>
      <c r="C27" s="3">
        <f t="shared" ref="C27:E33" si="3">STDEV(B16:C16)</f>
        <v>1.962615573354719E-17</v>
      </c>
      <c r="D27" s="3">
        <f t="shared" si="0"/>
        <v>4.9999999999999975E-3</v>
      </c>
      <c r="E27" s="3">
        <f t="shared" si="3"/>
        <v>1.4142135623730866E-3</v>
      </c>
      <c r="F27" s="3">
        <f t="shared" si="0"/>
        <v>5.0000000000000044E-3</v>
      </c>
      <c r="G27" s="3">
        <f t="shared" ref="G27:G33" si="4">STDEV(F16:G16)</f>
        <v>1.4142135623730963E-3</v>
      </c>
      <c r="H27" s="3">
        <f t="shared" si="0"/>
        <v>4.500000000000004E-3</v>
      </c>
      <c r="I27" s="3">
        <f t="shared" ref="I27:I33" si="5">STDEV(H16:I16)</f>
        <v>2.1213203435596446E-3</v>
      </c>
      <c r="J27" s="3">
        <f t="shared" si="0"/>
        <v>5.0000000000000044E-4</v>
      </c>
      <c r="K27" s="3">
        <f t="shared" ref="K27:K33" si="6">STDEV(J16:K16)</f>
        <v>2.1213203435596446E-3</v>
      </c>
      <c r="L27" s="3">
        <f t="shared" si="0"/>
        <v>-5.0000000000000044E-4</v>
      </c>
      <c r="M27" s="3">
        <f t="shared" ref="M27:M33" si="7">STDEV(L16:M16)</f>
        <v>7.0710678118654816E-4</v>
      </c>
    </row>
    <row r="28" spans="1:13" x14ac:dyDescent="0.3">
      <c r="A28" t="s">
        <v>15</v>
      </c>
      <c r="B28" s="3">
        <f t="shared" si="2"/>
        <v>4.500000000000004E-3</v>
      </c>
      <c r="C28" s="3">
        <f t="shared" si="3"/>
        <v>3.5355339059327411E-3</v>
      </c>
      <c r="D28" s="3">
        <f t="shared" si="0"/>
        <v>2.0000000000000018E-3</v>
      </c>
      <c r="E28" s="3">
        <f t="shared" si="3"/>
        <v>4.2426406871192892E-3</v>
      </c>
      <c r="F28" s="3">
        <f t="shared" si="0"/>
        <v>-2.0000000000000087E-3</v>
      </c>
      <c r="G28" s="3">
        <f t="shared" si="4"/>
        <v>7.0710678118654719E-3</v>
      </c>
      <c r="H28" s="3">
        <f t="shared" si="0"/>
        <v>-5.0000000000000044E-4</v>
      </c>
      <c r="I28" s="3">
        <f t="shared" si="5"/>
        <v>7.7781745930520299E-3</v>
      </c>
      <c r="J28" s="3">
        <f t="shared" si="0"/>
        <v>-5.0000000000000044E-4</v>
      </c>
      <c r="K28" s="3">
        <f t="shared" si="6"/>
        <v>7.0710678118654816E-4</v>
      </c>
      <c r="L28" s="3">
        <f t="shared" si="0"/>
        <v>0</v>
      </c>
      <c r="M28" s="3">
        <f t="shared" si="7"/>
        <v>0</v>
      </c>
    </row>
    <row r="29" spans="1:13" x14ac:dyDescent="0.3">
      <c r="A29" t="s">
        <v>16</v>
      </c>
      <c r="B29" s="3">
        <f t="shared" si="2"/>
        <v>5.499999999999991E-3</v>
      </c>
      <c r="C29" s="3">
        <f t="shared" si="3"/>
        <v>7.0710678118656779E-4</v>
      </c>
      <c r="D29" s="3">
        <f t="shared" si="0"/>
        <v>1.0000000000000009E-3</v>
      </c>
      <c r="E29" s="3">
        <f t="shared" si="3"/>
        <v>0</v>
      </c>
      <c r="F29" s="3">
        <f t="shared" si="0"/>
        <v>7.4999999999999858E-3</v>
      </c>
      <c r="G29" s="3">
        <f t="shared" si="4"/>
        <v>6.3639610306789234E-3</v>
      </c>
      <c r="H29" s="3">
        <f t="shared" si="0"/>
        <v>1.4999999999999944E-3</v>
      </c>
      <c r="I29" s="3">
        <f t="shared" si="5"/>
        <v>2.1213203435596346E-3</v>
      </c>
      <c r="J29" s="3">
        <f t="shared" si="0"/>
        <v>0</v>
      </c>
      <c r="K29" s="3">
        <f t="shared" si="6"/>
        <v>0</v>
      </c>
      <c r="L29" s="3">
        <f t="shared" si="0"/>
        <v>0</v>
      </c>
      <c r="M29" s="3">
        <f t="shared" si="7"/>
        <v>0</v>
      </c>
    </row>
    <row r="30" spans="1:13" x14ac:dyDescent="0.3">
      <c r="A30" t="s">
        <v>17</v>
      </c>
      <c r="B30" s="3">
        <f t="shared" si="2"/>
        <v>-5.0000000000000044E-4</v>
      </c>
      <c r="C30" s="3">
        <f t="shared" si="3"/>
        <v>3.5355339059327407E-3</v>
      </c>
      <c r="D30" s="3">
        <f t="shared" si="0"/>
        <v>4.0000000000000036E-3</v>
      </c>
      <c r="E30" s="3">
        <f t="shared" si="3"/>
        <v>1.4142135623730963E-3</v>
      </c>
      <c r="F30" s="3">
        <f t="shared" si="0"/>
        <v>1.0000000000000002E-2</v>
      </c>
      <c r="G30" s="3">
        <f t="shared" si="4"/>
        <v>1.4142135623731061E-3</v>
      </c>
      <c r="H30" s="3">
        <f t="shared" si="0"/>
        <v>2.4999999999999953E-3</v>
      </c>
      <c r="I30" s="3">
        <f t="shared" si="5"/>
        <v>1.2020815280171309E-2</v>
      </c>
      <c r="J30" s="3">
        <f t="shared" si="0"/>
        <v>0</v>
      </c>
      <c r="K30" s="3">
        <f t="shared" si="6"/>
        <v>0</v>
      </c>
      <c r="L30" s="3">
        <f t="shared" si="0"/>
        <v>7.0000000000000062E-3</v>
      </c>
      <c r="M30" s="3">
        <f t="shared" si="7"/>
        <v>1.1313708498984771E-2</v>
      </c>
    </row>
    <row r="31" spans="1:13" x14ac:dyDescent="0.3">
      <c r="A31" t="s">
        <v>18</v>
      </c>
      <c r="B31" s="3">
        <f t="shared" si="2"/>
        <v>3.4999999999999962E-3</v>
      </c>
      <c r="C31" s="3">
        <f t="shared" si="3"/>
        <v>2.1213203435596346E-3</v>
      </c>
      <c r="D31" s="3">
        <f t="shared" si="0"/>
        <v>0</v>
      </c>
      <c r="E31" s="3">
        <f t="shared" si="3"/>
        <v>2.8284271247461927E-3</v>
      </c>
      <c r="F31" s="3">
        <f t="shared" si="0"/>
        <v>4.9999999999999975E-3</v>
      </c>
      <c r="G31" s="3">
        <f t="shared" si="4"/>
        <v>4.2426406871192788E-3</v>
      </c>
      <c r="H31" s="3">
        <f t="shared" si="0"/>
        <v>1.0000000000000044E-3</v>
      </c>
      <c r="I31" s="3">
        <f t="shared" si="5"/>
        <v>4.242640687119284E-3</v>
      </c>
      <c r="J31" s="3">
        <f t="shared" si="0"/>
        <v>-4.9999999999999697E-4</v>
      </c>
      <c r="K31" s="3">
        <f t="shared" si="6"/>
        <v>7.0710678118654328E-4</v>
      </c>
      <c r="L31" s="3">
        <f t="shared" si="0"/>
        <v>0</v>
      </c>
      <c r="M31" s="3">
        <f t="shared" si="7"/>
        <v>1.4142135623730963E-3</v>
      </c>
    </row>
    <row r="32" spans="1:13" x14ac:dyDescent="0.3">
      <c r="A32" t="s">
        <v>19</v>
      </c>
      <c r="B32" s="3">
        <f t="shared" si="2"/>
        <v>5.0000000000000044E-3</v>
      </c>
      <c r="C32" s="3">
        <f t="shared" si="3"/>
        <v>2.8284271247461922E-3</v>
      </c>
      <c r="D32" s="3">
        <f t="shared" si="0"/>
        <v>2.9999999999999957E-3</v>
      </c>
      <c r="E32" s="3">
        <f t="shared" si="3"/>
        <v>1.4142135623730866E-3</v>
      </c>
      <c r="F32" s="3">
        <f t="shared" si="0"/>
        <v>5.9999999999999915E-3</v>
      </c>
      <c r="G32" s="3">
        <f t="shared" si="4"/>
        <v>2.8284271247461909E-3</v>
      </c>
      <c r="H32" s="3">
        <f t="shared" si="0"/>
        <v>9.9999999999999395E-4</v>
      </c>
      <c r="I32" s="3">
        <f t="shared" si="5"/>
        <v>9.8130778667735948E-18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0</v>
      </c>
      <c r="M32" s="3">
        <f t="shared" si="7"/>
        <v>0</v>
      </c>
    </row>
    <row r="33" spans="1:13" x14ac:dyDescent="0.3">
      <c r="A33" t="s">
        <v>20</v>
      </c>
      <c r="B33" s="3">
        <f t="shared" si="2"/>
        <v>6.0000000000000053E-3</v>
      </c>
      <c r="C33" s="3">
        <f t="shared" si="3"/>
        <v>1.6970562748477157E-2</v>
      </c>
      <c r="D33" s="3">
        <f t="shared" si="0"/>
        <v>0</v>
      </c>
      <c r="E33" s="3">
        <f t="shared" si="3"/>
        <v>1.4142135623730963E-3</v>
      </c>
      <c r="F33" s="3">
        <f t="shared" si="0"/>
        <v>1.3999999999999999E-2</v>
      </c>
      <c r="G33" s="3">
        <f t="shared" si="4"/>
        <v>1.1313708498984746E-2</v>
      </c>
      <c r="H33" s="3">
        <f t="shared" si="0"/>
        <v>2.0000000000000018E-3</v>
      </c>
      <c r="I33" s="3">
        <f t="shared" si="5"/>
        <v>1.4142135623730961E-3</v>
      </c>
      <c r="J33" s="3">
        <f t="shared" si="0"/>
        <v>0</v>
      </c>
      <c r="K33" s="3">
        <f t="shared" si="6"/>
        <v>0</v>
      </c>
      <c r="L33" s="3">
        <f t="shared" si="0"/>
        <v>5.0000000000000044E-4</v>
      </c>
      <c r="M33" s="3">
        <f t="shared" si="7"/>
        <v>7.0710678118654816E-4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3"/>
  <sheetViews>
    <sheetView workbookViewId="0">
      <selection activeCell="A25" sqref="A25:M33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0.10100000000000001</v>
      </c>
      <c r="C3">
        <v>8.8999999999999996E-2</v>
      </c>
      <c r="D3">
        <v>0.08</v>
      </c>
      <c r="E3">
        <v>0.08</v>
      </c>
      <c r="F3">
        <v>0.14699999999999999</v>
      </c>
      <c r="G3">
        <v>0.121</v>
      </c>
      <c r="H3">
        <v>8.4000000000000005E-2</v>
      </c>
      <c r="I3">
        <v>6.4000000000000001E-2</v>
      </c>
      <c r="J3">
        <v>5.0999999999999997E-2</v>
      </c>
      <c r="K3">
        <v>4.8000000000000001E-2</v>
      </c>
      <c r="L3">
        <v>0.12</v>
      </c>
      <c r="M3">
        <v>9.1999999999999998E-2</v>
      </c>
    </row>
    <row r="4" spans="1:13" x14ac:dyDescent="0.3">
      <c r="A4" t="s">
        <v>14</v>
      </c>
      <c r="B4">
        <v>0.129</v>
      </c>
      <c r="C4">
        <v>0.14199999999999999</v>
      </c>
      <c r="D4">
        <v>8.1000000000000003E-2</v>
      </c>
      <c r="E4">
        <v>8.6999999999999994E-2</v>
      </c>
      <c r="F4">
        <v>0.152</v>
      </c>
      <c r="G4">
        <v>0.13100000000000001</v>
      </c>
      <c r="H4">
        <v>9.7000000000000003E-2</v>
      </c>
      <c r="I4">
        <v>9.5000000000000001E-2</v>
      </c>
      <c r="J4">
        <v>6.0999999999999999E-2</v>
      </c>
      <c r="K4">
        <v>5.3999999999999999E-2</v>
      </c>
      <c r="L4">
        <v>9.2999999999999999E-2</v>
      </c>
      <c r="M4">
        <v>0.111</v>
      </c>
    </row>
    <row r="5" spans="1:13" x14ac:dyDescent="0.3">
      <c r="A5" t="s">
        <v>15</v>
      </c>
      <c r="B5">
        <v>0.14299999999999999</v>
      </c>
      <c r="C5">
        <v>0.15</v>
      </c>
      <c r="D5">
        <v>8.4000000000000005E-2</v>
      </c>
      <c r="E5">
        <v>7.9000000000000001E-2</v>
      </c>
      <c r="F5">
        <v>0.105</v>
      </c>
      <c r="G5">
        <v>0.109</v>
      </c>
      <c r="H5">
        <v>0.08</v>
      </c>
      <c r="I5">
        <v>6.2E-2</v>
      </c>
      <c r="J5">
        <v>9.4E-2</v>
      </c>
      <c r="K5">
        <v>0.11799999999999999</v>
      </c>
      <c r="L5">
        <v>0.114</v>
      </c>
      <c r="M5">
        <v>0.107</v>
      </c>
    </row>
    <row r="6" spans="1:13" x14ac:dyDescent="0.3">
      <c r="A6" t="s">
        <v>16</v>
      </c>
      <c r="B6">
        <v>0.17699999999999999</v>
      </c>
      <c r="C6">
        <v>0.193</v>
      </c>
      <c r="D6">
        <v>8.3000000000000004E-2</v>
      </c>
      <c r="E6">
        <v>9.0999999999999998E-2</v>
      </c>
      <c r="F6">
        <v>0.122</v>
      </c>
      <c r="G6">
        <v>0.21199999999999999</v>
      </c>
      <c r="H6">
        <v>7.2999999999999995E-2</v>
      </c>
      <c r="I6">
        <v>0.11</v>
      </c>
      <c r="J6">
        <v>8.4000000000000005E-2</v>
      </c>
      <c r="K6">
        <v>8.4000000000000005E-2</v>
      </c>
      <c r="L6">
        <v>0.10100000000000001</v>
      </c>
      <c r="M6">
        <v>9.8000000000000004E-2</v>
      </c>
    </row>
    <row r="7" spans="1:13" x14ac:dyDescent="0.3">
      <c r="A7" t="s">
        <v>17</v>
      </c>
      <c r="B7">
        <v>0.13500000000000001</v>
      </c>
      <c r="C7">
        <v>0.151</v>
      </c>
      <c r="D7">
        <v>8.3000000000000004E-2</v>
      </c>
      <c r="E7">
        <v>9.4E-2</v>
      </c>
      <c r="F7">
        <v>0.122</v>
      </c>
      <c r="G7">
        <v>0.115</v>
      </c>
      <c r="H7">
        <v>0.106</v>
      </c>
      <c r="I7">
        <v>7.8E-2</v>
      </c>
      <c r="J7">
        <v>6.9000000000000006E-2</v>
      </c>
      <c r="K7">
        <v>7.0000000000000007E-2</v>
      </c>
      <c r="L7">
        <v>0.65900000000000003</v>
      </c>
      <c r="M7">
        <v>9.6000000000000002E-2</v>
      </c>
    </row>
    <row r="8" spans="1:13" x14ac:dyDescent="0.3">
      <c r="A8" t="s">
        <v>18</v>
      </c>
      <c r="B8">
        <v>0.121</v>
      </c>
      <c r="C8">
        <v>9.4E-2</v>
      </c>
      <c r="D8">
        <v>7.5999999999999998E-2</v>
      </c>
      <c r="E8">
        <v>7.8E-2</v>
      </c>
      <c r="F8">
        <v>0.10199999999999999</v>
      </c>
      <c r="G8">
        <v>8.2000000000000003E-2</v>
      </c>
      <c r="H8">
        <v>8.1000000000000003E-2</v>
      </c>
      <c r="I8">
        <v>5.6000000000000001E-2</v>
      </c>
      <c r="J8">
        <v>4.9000000000000002E-2</v>
      </c>
      <c r="K8">
        <v>6.2E-2</v>
      </c>
      <c r="L8">
        <v>0.37</v>
      </c>
      <c r="M8">
        <v>9.7000000000000003E-2</v>
      </c>
    </row>
    <row r="9" spans="1:13" x14ac:dyDescent="0.3">
      <c r="A9" t="s">
        <v>19</v>
      </c>
      <c r="B9">
        <v>0.154</v>
      </c>
      <c r="C9">
        <v>0.16900000000000001</v>
      </c>
      <c r="D9">
        <v>0.105</v>
      </c>
      <c r="E9">
        <v>0.108</v>
      </c>
      <c r="F9">
        <v>0.121</v>
      </c>
      <c r="G9">
        <v>0.106</v>
      </c>
      <c r="H9">
        <v>7.0000000000000007E-2</v>
      </c>
      <c r="I9">
        <v>7.4999999999999997E-2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3">
      <c r="A10" t="s">
        <v>20</v>
      </c>
      <c r="B10">
        <v>0.20699999999999999</v>
      </c>
      <c r="C10">
        <v>0.22500000000000001</v>
      </c>
      <c r="D10">
        <v>0.104</v>
      </c>
      <c r="E10">
        <v>0.114</v>
      </c>
      <c r="F10">
        <v>0.251</v>
      </c>
      <c r="G10">
        <v>0.16500000000000001</v>
      </c>
      <c r="H10">
        <v>9.9000000000000005E-2</v>
      </c>
      <c r="I10">
        <v>9.4E-2</v>
      </c>
      <c r="J10">
        <v>9.6000000000000002E-2</v>
      </c>
      <c r="K10">
        <v>0.125</v>
      </c>
      <c r="L10">
        <v>0.125</v>
      </c>
      <c r="M10">
        <v>9.2999999999999999E-2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3.0000000000000027E-3</v>
      </c>
      <c r="C15" s="3">
        <f xml:space="preserve"> C3 - '+0.0 seg'!$C$3</f>
        <v>3.9999999999999897E-3</v>
      </c>
      <c r="D15" s="3">
        <f xml:space="preserve"> D3 - '+0.0 seg'!$D$3</f>
        <v>7.0000000000000062E-3</v>
      </c>
      <c r="E15" s="3">
        <f xml:space="preserve"> E3 - '+0.0 seg'!$E$3</f>
        <v>-6.9999999999999923E-3</v>
      </c>
      <c r="F15" s="3">
        <f xml:space="preserve"> F3 - '+0.0 seg'!$F$3</f>
        <v>0</v>
      </c>
      <c r="G15" s="3">
        <f xml:space="preserve"> G3 - '+0.0 seg'!$G$3</f>
        <v>5.9999999999999915E-3</v>
      </c>
      <c r="H15" s="3">
        <f xml:space="preserve"> H3 - '+0.0 seg'!$H$3</f>
        <v>1.0000000000000009E-3</v>
      </c>
      <c r="I15" s="3">
        <f xml:space="preserve"> I3 - '+0.0 seg'!$I$3</f>
        <v>3.0000000000000027E-3</v>
      </c>
      <c r="J15" s="3">
        <f xml:space="preserve"> J3 - '+0.0 seg'!$J$3</f>
        <v>0</v>
      </c>
      <c r="K15" s="3">
        <f xml:space="preserve"> K3 - '+0.0 seg'!$K$3</f>
        <v>-3.9999999999999966E-3</v>
      </c>
      <c r="L15" s="3">
        <f xml:space="preserve"> L3 - '+0.0 seg'!$L$3</f>
        <v>0</v>
      </c>
      <c r="M15" s="3">
        <f xml:space="preserve"> M3 - '+0.0 seg'!$M$3</f>
        <v>0</v>
      </c>
    </row>
    <row r="16" spans="1:13" x14ac:dyDescent="0.3">
      <c r="A16" t="s">
        <v>14</v>
      </c>
      <c r="B16" s="3">
        <f xml:space="preserve"> B4 - '+0.0 seg'!$B$4</f>
        <v>1.0000000000000009E-3</v>
      </c>
      <c r="C16" s="3">
        <f xml:space="preserve"> C4 - '+0.0 seg'!$C$4</f>
        <v>1.999999999999974E-3</v>
      </c>
      <c r="D16" s="3">
        <f xml:space="preserve"> D4 - '+0.0 seg'!$D$4</f>
        <v>5.0000000000000044E-3</v>
      </c>
      <c r="E16" s="3">
        <f xml:space="preserve"> E4 - '+0.0 seg'!$E$4</f>
        <v>2.9999999999999888E-3</v>
      </c>
      <c r="F16" s="3">
        <f xml:space="preserve"> F4 - '+0.0 seg'!$F$4</f>
        <v>6.0000000000000053E-3</v>
      </c>
      <c r="G16" s="3">
        <f xml:space="preserve"> G4 - '+0.0 seg'!$G$4</f>
        <v>4.0000000000000036E-3</v>
      </c>
      <c r="H16" s="3">
        <f xml:space="preserve"> H4 - '+0.0 seg'!$H$4</f>
        <v>6.0000000000000053E-3</v>
      </c>
      <c r="I16" s="3">
        <f xml:space="preserve"> I4 - '+0.0 seg'!$I$4</f>
        <v>3.0000000000000027E-3</v>
      </c>
      <c r="J16" s="3">
        <f xml:space="preserve"> J4 - '+0.0 seg'!$J$4</f>
        <v>-1.0000000000000009E-3</v>
      </c>
      <c r="K16" s="3">
        <f xml:space="preserve"> K4 - '+0.0 seg'!$K$4</f>
        <v>2.0000000000000018E-3</v>
      </c>
      <c r="L16" s="3">
        <f xml:space="preserve"> L4 - '+0.0 seg'!$L$4</f>
        <v>-1.0000000000000009E-3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2.0000000000000018E-3</v>
      </c>
      <c r="C17" s="3">
        <f xml:space="preserve"> C5 - '+0.0 seg'!$C$5</f>
        <v>8.0000000000000071E-3</v>
      </c>
      <c r="D17" s="3">
        <f xml:space="preserve"> D5 - '+0.0 seg'!$D$5</f>
        <v>4.0000000000000036E-3</v>
      </c>
      <c r="E17" s="3">
        <f xml:space="preserve"> E5 - '+0.0 seg'!$E$5</f>
        <v>-1.0000000000000009E-3</v>
      </c>
      <c r="F17" s="3">
        <f xml:space="preserve"> F5 - '+0.0 seg'!$F$5</f>
        <v>3.9999999999999897E-3</v>
      </c>
      <c r="G17" s="3">
        <f xml:space="preserve"> G5 - '+0.0 seg'!$G$5</f>
        <v>-7.0000000000000062E-3</v>
      </c>
      <c r="H17" s="3">
        <f xml:space="preserve"> H5 - '+0.0 seg'!$H$5</f>
        <v>5.0000000000000044E-3</v>
      </c>
      <c r="I17" s="3">
        <f xml:space="preserve"> I5 - '+0.0 seg'!$I$5</f>
        <v>-7.0000000000000062E-3</v>
      </c>
      <c r="J17" s="3">
        <f xml:space="preserve"> J5 - '+0.0 seg'!$J$5</f>
        <v>0</v>
      </c>
      <c r="K17" s="3">
        <f xml:space="preserve"> K5 - '+0.0 seg'!$K$5</f>
        <v>0</v>
      </c>
      <c r="L17" s="3">
        <f xml:space="preserve"> L5 - '+0.0 seg'!$L$5</f>
        <v>0</v>
      </c>
      <c r="M17" s="3">
        <f xml:space="preserve"> M5 - '+0.0 seg'!$M$5</f>
        <v>0</v>
      </c>
    </row>
    <row r="18" spans="1:13" x14ac:dyDescent="0.3">
      <c r="A18" t="s">
        <v>16</v>
      </c>
      <c r="B18" s="3">
        <f xml:space="preserve"> B6 - '+0.0 seg'!$B$6</f>
        <v>5.9999999999999776E-3</v>
      </c>
      <c r="C18" s="3">
        <f xml:space="preserve"> C6 - '+0.0 seg'!$C$6</f>
        <v>9.000000000000008E-3</v>
      </c>
      <c r="D18" s="3">
        <f xml:space="preserve"> D6 - '+0.0 seg'!$D$6</f>
        <v>1.0000000000000009E-3</v>
      </c>
      <c r="E18" s="3">
        <f xml:space="preserve"> E6 - '+0.0 seg'!$E$6</f>
        <v>0</v>
      </c>
      <c r="F18" s="3">
        <f xml:space="preserve"> F6 - '+0.0 seg'!$F$6</f>
        <v>4.9999999999999906E-3</v>
      </c>
      <c r="G18" s="3">
        <f xml:space="preserve"> G6 - '+0.0 seg'!$G$6</f>
        <v>1.2999999999999984E-2</v>
      </c>
      <c r="H18" s="3">
        <f xml:space="preserve"> H6 - '+0.0 seg'!$H$6</f>
        <v>4.9999999999999906E-3</v>
      </c>
      <c r="I18" s="3">
        <f xml:space="preserve"> I6 - '+0.0 seg'!$I$6</f>
        <v>1.0000000000000009E-3</v>
      </c>
      <c r="J18" s="3">
        <f xml:space="preserve"> J6 - '+0.0 seg'!$J$6</f>
        <v>1.0000000000000009E-3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1.0000000000000009E-3</v>
      </c>
    </row>
    <row r="19" spans="1:13" x14ac:dyDescent="0.3">
      <c r="A19" t="s">
        <v>17</v>
      </c>
      <c r="B19" s="3">
        <f xml:space="preserve"> B7 - '+0.0 seg'!$B$7</f>
        <v>1.0000000000000009E-3</v>
      </c>
      <c r="C19" s="3">
        <f xml:space="preserve"> C7 - '+0.0 seg'!$C$7</f>
        <v>0</v>
      </c>
      <c r="D19" s="3">
        <f xml:space="preserve"> D7 - '+0.0 seg'!$D$7</f>
        <v>3.0000000000000027E-3</v>
      </c>
      <c r="E19" s="3">
        <f xml:space="preserve"> E7 - '+0.0 seg'!$E$7</f>
        <v>6.0000000000000053E-3</v>
      </c>
      <c r="F19" s="3">
        <f xml:space="preserve"> F7 - '+0.0 seg'!$F$7</f>
        <v>9.999999999999995E-3</v>
      </c>
      <c r="G19" s="3">
        <f xml:space="preserve"> G7 - '+0.0 seg'!$G$7</f>
        <v>1.2000000000000011E-2</v>
      </c>
      <c r="H19" s="3">
        <f xml:space="preserve"> H7 - '+0.0 seg'!$H$7</f>
        <v>1.1999999999999997E-2</v>
      </c>
      <c r="I19" s="3">
        <f xml:space="preserve"> I7 - '+0.0 seg'!$I$7</f>
        <v>-6.0000000000000053E-3</v>
      </c>
      <c r="J19" s="3">
        <f xml:space="preserve"> J7 - '+0.0 seg'!$J$7</f>
        <v>0</v>
      </c>
      <c r="K19" s="3">
        <f xml:space="preserve"> K7 - '+0.0 seg'!$K$7</f>
        <v>1.0000000000000009E-3</v>
      </c>
      <c r="L19" s="3">
        <f xml:space="preserve"> L7 - '+0.0 seg'!$L$7</f>
        <v>1.6000000000000014E-2</v>
      </c>
      <c r="M19" s="3">
        <f xml:space="preserve"> M7 - '+0.0 seg'!$M$7</f>
        <v>-1.0000000000000009E-3</v>
      </c>
    </row>
    <row r="20" spans="1:13" x14ac:dyDescent="0.3">
      <c r="A20" t="s">
        <v>18</v>
      </c>
      <c r="B20" s="3">
        <f xml:space="preserve"> B8 - '+0.0 seg'!$B$8</f>
        <v>4.9999999999999906E-3</v>
      </c>
      <c r="C20" s="3">
        <f xml:space="preserve"> C8 - '+0.0 seg'!$C$8</f>
        <v>3.0000000000000027E-3</v>
      </c>
      <c r="D20" s="3">
        <f xml:space="preserve"> D8 - '+0.0 seg'!$D$8</f>
        <v>-3.0000000000000027E-3</v>
      </c>
      <c r="E20" s="3">
        <f xml:space="preserve"> E8 - '+0.0 seg'!$E$8</f>
        <v>3.0000000000000027E-3</v>
      </c>
      <c r="F20" s="3">
        <f xml:space="preserve"> F8 - '+0.0 seg'!$F$8</f>
        <v>5.9999999999999915E-3</v>
      </c>
      <c r="G20" s="3">
        <f xml:space="preserve"> G8 - '+0.0 seg'!$G$8</f>
        <v>3.0000000000000027E-3</v>
      </c>
      <c r="H20" s="3">
        <f xml:space="preserve"> H8 - '+0.0 seg'!$H$8</f>
        <v>5.0000000000000044E-3</v>
      </c>
      <c r="I20" s="3">
        <f xml:space="preserve"> I8 - '+0.0 seg'!$I$8</f>
        <v>-2.9999999999999957E-3</v>
      </c>
      <c r="J20" s="3">
        <f xml:space="preserve"> J8 - '+0.0 seg'!$J$8</f>
        <v>-1.9999999999999948E-3</v>
      </c>
      <c r="K20" s="3">
        <f xml:space="preserve"> K8 - '+0.0 seg'!$K$8</f>
        <v>0</v>
      </c>
      <c r="L20" s="3">
        <f xml:space="preserve"> L8 - '+0.0 seg'!$L$8</f>
        <v>1.0000000000000009E-3</v>
      </c>
      <c r="M20" s="3">
        <f xml:space="preserve"> M8 - '+0.0 seg'!$M$8</f>
        <v>0</v>
      </c>
    </row>
    <row r="21" spans="1:13" x14ac:dyDescent="0.3">
      <c r="A21" t="s">
        <v>19</v>
      </c>
      <c r="B21" s="3">
        <f xml:space="preserve"> B9 - '+0.0 seg'!$B$9</f>
        <v>3.0000000000000027E-3</v>
      </c>
      <c r="C21" s="3">
        <f xml:space="preserve"> C9 - '+0.0 seg'!$C$9</f>
        <v>7.0000000000000062E-3</v>
      </c>
      <c r="D21" s="3">
        <f xml:space="preserve"> D9 - '+0.0 seg'!$D$9</f>
        <v>4.9999999999999906E-3</v>
      </c>
      <c r="E21" s="3">
        <f xml:space="preserve"> E9 - '+0.0 seg'!$E$9</f>
        <v>3.0000000000000027E-3</v>
      </c>
      <c r="F21" s="3">
        <f xml:space="preserve"> F9 - '+0.0 seg'!$F$9</f>
        <v>4.9999999999999906E-3</v>
      </c>
      <c r="G21" s="3">
        <f xml:space="preserve"> G9 - '+0.0 seg'!$G$9</f>
        <v>7.9999999999999932E-3</v>
      </c>
      <c r="H21" s="3">
        <f xml:space="preserve"> H9 - '+0.0 seg'!$H$9</f>
        <v>0</v>
      </c>
      <c r="I21" s="3">
        <f xml:space="preserve"> I9 - '+0.0 seg'!$I$9</f>
        <v>1.0000000000000009E-3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</row>
    <row r="22" spans="1:13" x14ac:dyDescent="0.3">
      <c r="A22" t="s">
        <v>20</v>
      </c>
      <c r="B22" s="3">
        <f xml:space="preserve"> B10 - '+0.0 seg'!$B$10</f>
        <v>-1.2000000000000011E-2</v>
      </c>
      <c r="C22" s="3">
        <f xml:space="preserve"> C10 - '+0.0 seg'!$C$10</f>
        <v>2.0000000000000018E-2</v>
      </c>
      <c r="D22" s="3">
        <f xml:space="preserve"> D10 - '+0.0 seg'!$D$10</f>
        <v>-1.0000000000000009E-3</v>
      </c>
      <c r="E22" s="3">
        <f xml:space="preserve"> E10 - '+0.0 seg'!$E$10</f>
        <v>2.0000000000000018E-3</v>
      </c>
      <c r="F22" s="3">
        <f xml:space="preserve"> F10 - '+0.0 seg'!$F$10</f>
        <v>2.4999999999999994E-2</v>
      </c>
      <c r="G22" s="3">
        <f xml:space="preserve"> G10 - '+0.0 seg'!$G$10</f>
        <v>6.0000000000000053E-3</v>
      </c>
      <c r="H22" s="3">
        <f xml:space="preserve"> H10 - '+0.0 seg'!$H$10</f>
        <v>2.0000000000000018E-3</v>
      </c>
      <c r="I22" s="3">
        <f xml:space="preserve"> I10 - '+0.0 seg'!$I$10</f>
        <v>2.0000000000000018E-3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-3.0000000000000027E-3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3.4999999999999962E-3</v>
      </c>
      <c r="C26" s="3">
        <f>STDEV(B15:C15)</f>
        <v>7.0710678118653841E-4</v>
      </c>
      <c r="D26" s="3">
        <f t="shared" ref="D26:L33" si="0">AVERAGE(D15:E15)</f>
        <v>6.9388939039072284E-18</v>
      </c>
      <c r="E26" s="3">
        <f>STDEV(D15:E15)</f>
        <v>9.8994949366116632E-3</v>
      </c>
      <c r="F26" s="3">
        <f t="shared" si="0"/>
        <v>2.9999999999999957E-3</v>
      </c>
      <c r="G26" s="3">
        <f>STDEV(F15:G15)</f>
        <v>4.2426406871192788E-3</v>
      </c>
      <c r="H26" s="3">
        <f t="shared" si="0"/>
        <v>2.0000000000000018E-3</v>
      </c>
      <c r="I26" s="3">
        <f>STDEV(H15:I15)</f>
        <v>1.4142135623730961E-3</v>
      </c>
      <c r="J26" s="3">
        <f t="shared" si="0"/>
        <v>-1.9999999999999983E-3</v>
      </c>
      <c r="K26" s="3">
        <f>STDEV(J15:K15)</f>
        <v>2.8284271247461874E-3</v>
      </c>
      <c r="L26" s="3">
        <f t="shared" ref="L26:M26" si="1">AVERAGE(L15:M15)</f>
        <v>0</v>
      </c>
      <c r="M26" s="3">
        <f>STDEV(L15:M15)</f>
        <v>0</v>
      </c>
    </row>
    <row r="27" spans="1:13" x14ac:dyDescent="0.3">
      <c r="A27" t="s">
        <v>14</v>
      </c>
      <c r="B27" s="3">
        <f t="shared" ref="B27:B33" si="2">AVERAGE(B16:C16)</f>
        <v>1.4999999999999875E-3</v>
      </c>
      <c r="C27" s="3">
        <f t="shared" ref="C27:E33" si="3">STDEV(B16:C16)</f>
        <v>7.0710678118652854E-4</v>
      </c>
      <c r="D27" s="3">
        <f t="shared" si="0"/>
        <v>3.9999999999999966E-3</v>
      </c>
      <c r="E27" s="3">
        <f t="shared" si="3"/>
        <v>1.4142135623731061E-3</v>
      </c>
      <c r="F27" s="3">
        <f t="shared" si="0"/>
        <v>5.0000000000000044E-3</v>
      </c>
      <c r="G27" s="3">
        <f t="shared" ref="G27:G33" si="4">STDEV(F16:G16)</f>
        <v>1.4142135623730963E-3</v>
      </c>
      <c r="H27" s="3">
        <f t="shared" si="0"/>
        <v>4.500000000000004E-3</v>
      </c>
      <c r="I27" s="3">
        <f t="shared" ref="I27:I33" si="5">STDEV(H16:I16)</f>
        <v>2.1213203435596446E-3</v>
      </c>
      <c r="J27" s="3">
        <f t="shared" si="0"/>
        <v>5.0000000000000044E-4</v>
      </c>
      <c r="K27" s="3">
        <f t="shared" ref="K27:K33" si="6">STDEV(J16:K16)</f>
        <v>2.1213203435596446E-3</v>
      </c>
      <c r="L27" s="3">
        <f t="shared" si="0"/>
        <v>-5.0000000000000044E-4</v>
      </c>
      <c r="M27" s="3">
        <f t="shared" ref="M27:M33" si="7">STDEV(L16:M16)</f>
        <v>7.0710678118654816E-4</v>
      </c>
    </row>
    <row r="28" spans="1:13" x14ac:dyDescent="0.3">
      <c r="A28" t="s">
        <v>15</v>
      </c>
      <c r="B28" s="3">
        <f t="shared" si="2"/>
        <v>5.0000000000000044E-3</v>
      </c>
      <c r="C28" s="3">
        <f t="shared" si="3"/>
        <v>4.2426406871192892E-3</v>
      </c>
      <c r="D28" s="3">
        <f t="shared" si="0"/>
        <v>1.5000000000000013E-3</v>
      </c>
      <c r="E28" s="3">
        <f t="shared" si="3"/>
        <v>3.5355339059327407E-3</v>
      </c>
      <c r="F28" s="3">
        <f t="shared" si="0"/>
        <v>-1.5000000000000083E-3</v>
      </c>
      <c r="G28" s="3">
        <f t="shared" si="4"/>
        <v>7.7781745930520204E-3</v>
      </c>
      <c r="H28" s="3">
        <f t="shared" si="0"/>
        <v>-1.0000000000000009E-3</v>
      </c>
      <c r="I28" s="3">
        <f t="shared" si="5"/>
        <v>8.4852813742385784E-3</v>
      </c>
      <c r="J28" s="3">
        <f t="shared" si="0"/>
        <v>0</v>
      </c>
      <c r="K28" s="3">
        <f t="shared" si="6"/>
        <v>0</v>
      </c>
      <c r="L28" s="3">
        <f t="shared" si="0"/>
        <v>0</v>
      </c>
      <c r="M28" s="3">
        <f t="shared" si="7"/>
        <v>0</v>
      </c>
    </row>
    <row r="29" spans="1:13" x14ac:dyDescent="0.3">
      <c r="A29" t="s">
        <v>16</v>
      </c>
      <c r="B29" s="3">
        <f t="shared" si="2"/>
        <v>7.4999999999999928E-3</v>
      </c>
      <c r="C29" s="3">
        <f t="shared" si="3"/>
        <v>2.1213203435596641E-3</v>
      </c>
      <c r="D29" s="3">
        <f t="shared" si="0"/>
        <v>5.0000000000000044E-4</v>
      </c>
      <c r="E29" s="3">
        <f t="shared" si="3"/>
        <v>7.0710678118654816E-4</v>
      </c>
      <c r="F29" s="3">
        <f t="shared" si="0"/>
        <v>8.9999999999999872E-3</v>
      </c>
      <c r="G29" s="3">
        <f t="shared" si="4"/>
        <v>5.6568542494923749E-3</v>
      </c>
      <c r="H29" s="3">
        <f t="shared" si="0"/>
        <v>2.9999999999999957E-3</v>
      </c>
      <c r="I29" s="3">
        <f t="shared" si="5"/>
        <v>2.8284271247461827E-3</v>
      </c>
      <c r="J29" s="3">
        <f t="shared" si="0"/>
        <v>5.0000000000000044E-4</v>
      </c>
      <c r="K29" s="3">
        <f t="shared" si="6"/>
        <v>7.0710678118654816E-4</v>
      </c>
      <c r="L29" s="3">
        <f t="shared" si="0"/>
        <v>5.0000000000000044E-4</v>
      </c>
      <c r="M29" s="3">
        <f t="shared" si="7"/>
        <v>7.0710678118654816E-4</v>
      </c>
    </row>
    <row r="30" spans="1:13" x14ac:dyDescent="0.3">
      <c r="A30" t="s">
        <v>17</v>
      </c>
      <c r="B30" s="3">
        <f t="shared" si="2"/>
        <v>5.0000000000000044E-4</v>
      </c>
      <c r="C30" s="3">
        <f t="shared" si="3"/>
        <v>7.0710678118654816E-4</v>
      </c>
      <c r="D30" s="3">
        <f t="shared" si="0"/>
        <v>4.500000000000004E-3</v>
      </c>
      <c r="E30" s="3">
        <f t="shared" si="3"/>
        <v>2.1213203435596446E-3</v>
      </c>
      <c r="F30" s="3">
        <f t="shared" si="0"/>
        <v>1.1000000000000003E-2</v>
      </c>
      <c r="G30" s="3">
        <f t="shared" si="4"/>
        <v>1.4142135623731061E-3</v>
      </c>
      <c r="H30" s="3">
        <f t="shared" si="0"/>
        <v>2.9999999999999957E-3</v>
      </c>
      <c r="I30" s="3">
        <f t="shared" si="5"/>
        <v>1.2727922061357857E-2</v>
      </c>
      <c r="J30" s="3">
        <f t="shared" si="0"/>
        <v>5.0000000000000044E-4</v>
      </c>
      <c r="K30" s="3">
        <f t="shared" si="6"/>
        <v>7.0710678118654816E-4</v>
      </c>
      <c r="L30" s="3">
        <f t="shared" si="0"/>
        <v>7.5000000000000067E-3</v>
      </c>
      <c r="M30" s="3">
        <f t="shared" si="7"/>
        <v>1.2020815280171321E-2</v>
      </c>
    </row>
    <row r="31" spans="1:13" x14ac:dyDescent="0.3">
      <c r="A31" t="s">
        <v>18</v>
      </c>
      <c r="B31" s="3">
        <f t="shared" si="2"/>
        <v>3.9999999999999966E-3</v>
      </c>
      <c r="C31" s="3">
        <f t="shared" si="3"/>
        <v>1.4142135623730866E-3</v>
      </c>
      <c r="D31" s="3">
        <f t="shared" si="0"/>
        <v>0</v>
      </c>
      <c r="E31" s="3">
        <f t="shared" si="3"/>
        <v>4.2426406871192892E-3</v>
      </c>
      <c r="F31" s="3">
        <f t="shared" si="0"/>
        <v>4.4999999999999971E-3</v>
      </c>
      <c r="G31" s="3">
        <f t="shared" si="4"/>
        <v>2.1213203435596346E-3</v>
      </c>
      <c r="H31" s="3">
        <f t="shared" si="0"/>
        <v>1.0000000000000044E-3</v>
      </c>
      <c r="I31" s="3">
        <f t="shared" si="5"/>
        <v>5.656854249492381E-3</v>
      </c>
      <c r="J31" s="3">
        <f t="shared" si="0"/>
        <v>-9.9999999999999742E-4</v>
      </c>
      <c r="K31" s="3">
        <f t="shared" si="6"/>
        <v>1.4142135623730913E-3</v>
      </c>
      <c r="L31" s="3">
        <f t="shared" si="0"/>
        <v>5.0000000000000044E-4</v>
      </c>
      <c r="M31" s="3">
        <f t="shared" si="7"/>
        <v>7.0710678118654816E-4</v>
      </c>
    </row>
    <row r="32" spans="1:13" x14ac:dyDescent="0.3">
      <c r="A32" t="s">
        <v>19</v>
      </c>
      <c r="B32" s="3">
        <f t="shared" si="2"/>
        <v>5.0000000000000044E-3</v>
      </c>
      <c r="C32" s="3">
        <f t="shared" si="3"/>
        <v>2.8284271247461922E-3</v>
      </c>
      <c r="D32" s="3">
        <f t="shared" si="0"/>
        <v>3.9999999999999966E-3</v>
      </c>
      <c r="E32" s="3">
        <f t="shared" si="3"/>
        <v>1.4142135623730866E-3</v>
      </c>
      <c r="F32" s="3">
        <f t="shared" si="0"/>
        <v>6.4999999999999919E-3</v>
      </c>
      <c r="G32" s="3">
        <f t="shared" si="4"/>
        <v>2.1213203435596446E-3</v>
      </c>
      <c r="H32" s="3">
        <f t="shared" si="0"/>
        <v>5.0000000000000044E-4</v>
      </c>
      <c r="I32" s="3">
        <f t="shared" si="5"/>
        <v>7.0710678118654816E-4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0</v>
      </c>
      <c r="M32" s="3">
        <f t="shared" si="7"/>
        <v>0</v>
      </c>
    </row>
    <row r="33" spans="1:13" x14ac:dyDescent="0.3">
      <c r="A33" t="s">
        <v>20</v>
      </c>
      <c r="B33" s="3">
        <f t="shared" si="2"/>
        <v>4.0000000000000036E-3</v>
      </c>
      <c r="C33" s="3">
        <f t="shared" si="3"/>
        <v>2.2627416997969541E-2</v>
      </c>
      <c r="D33" s="3">
        <f t="shared" si="0"/>
        <v>5.0000000000000044E-4</v>
      </c>
      <c r="E33" s="3">
        <f t="shared" si="3"/>
        <v>2.1213203435596446E-3</v>
      </c>
      <c r="F33" s="3">
        <f t="shared" si="0"/>
        <v>1.55E-2</v>
      </c>
      <c r="G33" s="3">
        <f t="shared" si="4"/>
        <v>1.3435028842544394E-2</v>
      </c>
      <c r="H33" s="3">
        <f t="shared" si="0"/>
        <v>2.0000000000000018E-3</v>
      </c>
      <c r="I33" s="3">
        <f t="shared" si="5"/>
        <v>0</v>
      </c>
      <c r="J33" s="3">
        <f t="shared" si="0"/>
        <v>0</v>
      </c>
      <c r="K33" s="3">
        <f t="shared" si="6"/>
        <v>0</v>
      </c>
      <c r="L33" s="3">
        <f t="shared" si="0"/>
        <v>-1.5000000000000013E-3</v>
      </c>
      <c r="M33" s="3">
        <f t="shared" si="7"/>
        <v>2.1213203435596446E-3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3"/>
  <sheetViews>
    <sheetView workbookViewId="0">
      <selection activeCell="A25" sqref="A25:M33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</v>
      </c>
      <c r="C3">
        <v>0.09</v>
      </c>
      <c r="D3">
        <v>0.08</v>
      </c>
      <c r="E3">
        <v>9.6000000000000002E-2</v>
      </c>
      <c r="F3">
        <v>0.14799999999999999</v>
      </c>
      <c r="G3">
        <v>0.122</v>
      </c>
      <c r="H3">
        <v>8.4000000000000005E-2</v>
      </c>
      <c r="I3">
        <v>6.4000000000000001E-2</v>
      </c>
      <c r="J3">
        <v>5.0999999999999997E-2</v>
      </c>
      <c r="K3">
        <v>4.8000000000000001E-2</v>
      </c>
      <c r="L3">
        <v>0.12</v>
      </c>
      <c r="M3">
        <v>9.1999999999999998E-2</v>
      </c>
    </row>
    <row r="4" spans="1:13" x14ac:dyDescent="0.3">
      <c r="A4" t="s">
        <v>14</v>
      </c>
      <c r="B4">
        <v>0.129</v>
      </c>
      <c r="C4">
        <v>0.14299999999999999</v>
      </c>
      <c r="D4">
        <v>0.08</v>
      </c>
      <c r="E4">
        <v>8.8999999999999996E-2</v>
      </c>
      <c r="F4">
        <v>0.151</v>
      </c>
      <c r="G4">
        <v>0.13200000000000001</v>
      </c>
      <c r="H4">
        <v>9.7000000000000003E-2</v>
      </c>
      <c r="I4">
        <v>9.5000000000000001E-2</v>
      </c>
      <c r="J4">
        <v>6.0999999999999999E-2</v>
      </c>
      <c r="K4">
        <v>5.3999999999999999E-2</v>
      </c>
      <c r="L4">
        <v>9.2999999999999999E-2</v>
      </c>
      <c r="M4">
        <v>0.111</v>
      </c>
    </row>
    <row r="5" spans="1:13" x14ac:dyDescent="0.3">
      <c r="A5" t="s">
        <v>15</v>
      </c>
      <c r="B5">
        <v>0.14299999999999999</v>
      </c>
      <c r="C5">
        <v>0.151</v>
      </c>
      <c r="D5">
        <v>8.4000000000000005E-2</v>
      </c>
      <c r="E5">
        <v>7.9000000000000001E-2</v>
      </c>
      <c r="F5">
        <v>0.105</v>
      </c>
      <c r="G5">
        <v>0.11</v>
      </c>
      <c r="H5">
        <v>0.08</v>
      </c>
      <c r="I5">
        <v>6.2E-2</v>
      </c>
      <c r="J5">
        <v>9.4E-2</v>
      </c>
      <c r="K5">
        <v>0.11799999999999999</v>
      </c>
      <c r="L5">
        <v>0.114</v>
      </c>
      <c r="M5">
        <v>0.107</v>
      </c>
    </row>
    <row r="6" spans="1:13" x14ac:dyDescent="0.3">
      <c r="A6" t="s">
        <v>16</v>
      </c>
      <c r="B6">
        <v>0.17699999999999999</v>
      </c>
      <c r="C6">
        <v>0.19</v>
      </c>
      <c r="D6">
        <v>8.3000000000000004E-2</v>
      </c>
      <c r="E6">
        <v>9.0999999999999998E-2</v>
      </c>
      <c r="F6">
        <v>0.122</v>
      </c>
      <c r="G6">
        <v>0.21299999999999999</v>
      </c>
      <c r="H6">
        <v>7.1999999999999995E-2</v>
      </c>
      <c r="I6">
        <v>0.11</v>
      </c>
      <c r="J6">
        <v>8.4000000000000005E-2</v>
      </c>
      <c r="K6">
        <v>8.4000000000000005E-2</v>
      </c>
      <c r="L6">
        <v>0.10100000000000001</v>
      </c>
      <c r="M6">
        <v>9.8000000000000004E-2</v>
      </c>
    </row>
    <row r="7" spans="1:13" x14ac:dyDescent="0.3">
      <c r="A7" t="s">
        <v>17</v>
      </c>
      <c r="B7">
        <v>0.13500000000000001</v>
      </c>
      <c r="C7">
        <v>0.154</v>
      </c>
      <c r="D7">
        <v>8.3000000000000004E-2</v>
      </c>
      <c r="E7">
        <v>9.4E-2</v>
      </c>
      <c r="F7">
        <v>0.124</v>
      </c>
      <c r="G7">
        <v>0.115</v>
      </c>
      <c r="H7">
        <v>0.107</v>
      </c>
      <c r="I7">
        <v>7.8E-2</v>
      </c>
      <c r="J7">
        <v>6.9000000000000006E-2</v>
      </c>
      <c r="K7">
        <v>7.0000000000000007E-2</v>
      </c>
      <c r="L7">
        <v>0.64400000000000002</v>
      </c>
      <c r="M7">
        <v>9.6000000000000002E-2</v>
      </c>
    </row>
    <row r="8" spans="1:13" x14ac:dyDescent="0.3">
      <c r="A8" t="s">
        <v>18</v>
      </c>
      <c r="B8">
        <v>0.121</v>
      </c>
      <c r="C8">
        <v>9.5000000000000001E-2</v>
      </c>
      <c r="D8">
        <v>7.5999999999999998E-2</v>
      </c>
      <c r="E8">
        <v>7.8E-2</v>
      </c>
      <c r="F8">
        <v>0.104</v>
      </c>
      <c r="G8">
        <v>8.2000000000000003E-2</v>
      </c>
      <c r="H8">
        <v>0.08</v>
      </c>
      <c r="I8">
        <v>5.6000000000000001E-2</v>
      </c>
      <c r="J8">
        <v>0.05</v>
      </c>
      <c r="K8">
        <v>6.2E-2</v>
      </c>
      <c r="L8">
        <v>0.371</v>
      </c>
      <c r="M8">
        <v>9.7000000000000003E-2</v>
      </c>
    </row>
    <row r="9" spans="1:13" x14ac:dyDescent="0.3">
      <c r="A9" t="s">
        <v>19</v>
      </c>
      <c r="B9">
        <v>0.154</v>
      </c>
      <c r="C9">
        <v>0.17</v>
      </c>
      <c r="D9">
        <v>0.105</v>
      </c>
      <c r="E9">
        <v>0.108</v>
      </c>
      <c r="F9">
        <v>0.121</v>
      </c>
      <c r="G9">
        <v>0.107</v>
      </c>
      <c r="H9">
        <v>7.0999999999999994E-2</v>
      </c>
      <c r="I9">
        <v>7.4999999999999997E-2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3">
      <c r="A10" t="s">
        <v>20</v>
      </c>
      <c r="B10">
        <v>0.214</v>
      </c>
      <c r="C10">
        <v>0.22600000000000001</v>
      </c>
      <c r="D10">
        <v>0.10299999999999999</v>
      </c>
      <c r="E10">
        <v>0.115</v>
      </c>
      <c r="F10">
        <v>0.252</v>
      </c>
      <c r="G10">
        <v>0.16400000000000001</v>
      </c>
      <c r="H10">
        <v>0.1</v>
      </c>
      <c r="I10">
        <v>9.2999999999999999E-2</v>
      </c>
      <c r="J10">
        <v>9.6000000000000002E-2</v>
      </c>
      <c r="K10">
        <v>0.125</v>
      </c>
      <c r="L10">
        <v>0.125</v>
      </c>
      <c r="M10">
        <v>9.2999999999999999E-2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2.0000000000000018E-3</v>
      </c>
      <c r="C15" s="3">
        <f xml:space="preserve"> C3 - '+0.0 seg'!$C$3</f>
        <v>4.9999999999999906E-3</v>
      </c>
      <c r="D15" s="3">
        <f xml:space="preserve"> D3 - '+0.0 seg'!$D$3</f>
        <v>7.0000000000000062E-3</v>
      </c>
      <c r="E15" s="3">
        <f xml:space="preserve"> E3 - '+0.0 seg'!$E$3</f>
        <v>9.000000000000008E-3</v>
      </c>
      <c r="F15" s="3">
        <f xml:space="preserve"> F3 - '+0.0 seg'!$F$3</f>
        <v>1.0000000000000009E-3</v>
      </c>
      <c r="G15" s="3">
        <f xml:space="preserve"> G3 - '+0.0 seg'!$G$3</f>
        <v>6.9999999999999923E-3</v>
      </c>
      <c r="H15" s="3">
        <f xml:space="preserve"> H3 - '+0.0 seg'!$H$3</f>
        <v>1.0000000000000009E-3</v>
      </c>
      <c r="I15" s="3">
        <f xml:space="preserve"> I3 - '+0.0 seg'!$I$3</f>
        <v>3.0000000000000027E-3</v>
      </c>
      <c r="J15" s="3">
        <f xml:space="preserve"> J3 - '+0.0 seg'!$J$3</f>
        <v>0</v>
      </c>
      <c r="K15" s="3">
        <f xml:space="preserve"> K3 - '+0.0 seg'!$K$3</f>
        <v>-3.9999999999999966E-3</v>
      </c>
      <c r="L15" s="3">
        <f xml:space="preserve"> L3 - '+0.0 seg'!$L$3</f>
        <v>0</v>
      </c>
      <c r="M15" s="3">
        <f xml:space="preserve"> M3 - '+0.0 seg'!$M$3</f>
        <v>0</v>
      </c>
    </row>
    <row r="16" spans="1:13" x14ac:dyDescent="0.3">
      <c r="A16" t="s">
        <v>14</v>
      </c>
      <c r="B16" s="3">
        <f xml:space="preserve"> B4 - '+0.0 seg'!$B$4</f>
        <v>1.0000000000000009E-3</v>
      </c>
      <c r="C16" s="3">
        <f xml:space="preserve"> C4 - '+0.0 seg'!$C$4</f>
        <v>2.9999999999999749E-3</v>
      </c>
      <c r="D16" s="3">
        <f xml:space="preserve"> D4 - '+0.0 seg'!$D$4</f>
        <v>4.0000000000000036E-3</v>
      </c>
      <c r="E16" s="3">
        <f xml:space="preserve"> E4 - '+0.0 seg'!$E$4</f>
        <v>4.9999999999999906E-3</v>
      </c>
      <c r="F16" s="3">
        <f xml:space="preserve"> F4 - '+0.0 seg'!$F$4</f>
        <v>5.0000000000000044E-3</v>
      </c>
      <c r="G16" s="3">
        <f xml:space="preserve"> G4 - '+0.0 seg'!$G$4</f>
        <v>5.0000000000000044E-3</v>
      </c>
      <c r="H16" s="3">
        <f xml:space="preserve"> H4 - '+0.0 seg'!$H$4</f>
        <v>6.0000000000000053E-3</v>
      </c>
      <c r="I16" s="3">
        <f xml:space="preserve"> I4 - '+0.0 seg'!$I$4</f>
        <v>3.0000000000000027E-3</v>
      </c>
      <c r="J16" s="3">
        <f xml:space="preserve"> J4 - '+0.0 seg'!$J$4</f>
        <v>-1.0000000000000009E-3</v>
      </c>
      <c r="K16" s="3">
        <f xml:space="preserve"> K4 - '+0.0 seg'!$K$4</f>
        <v>2.0000000000000018E-3</v>
      </c>
      <c r="L16" s="3">
        <f xml:space="preserve"> L4 - '+0.0 seg'!$L$4</f>
        <v>-1.0000000000000009E-3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2.0000000000000018E-3</v>
      </c>
      <c r="C17" s="3">
        <f xml:space="preserve"> C5 - '+0.0 seg'!$C$5</f>
        <v>9.000000000000008E-3</v>
      </c>
      <c r="D17" s="3">
        <f xml:space="preserve"> D5 - '+0.0 seg'!$D$5</f>
        <v>4.0000000000000036E-3</v>
      </c>
      <c r="E17" s="3">
        <f xml:space="preserve"> E5 - '+0.0 seg'!$E$5</f>
        <v>-1.0000000000000009E-3</v>
      </c>
      <c r="F17" s="3">
        <f xml:space="preserve"> F5 - '+0.0 seg'!$F$5</f>
        <v>3.9999999999999897E-3</v>
      </c>
      <c r="G17" s="3">
        <f xml:space="preserve"> G5 - '+0.0 seg'!$G$5</f>
        <v>-6.0000000000000053E-3</v>
      </c>
      <c r="H17" s="3">
        <f xml:space="preserve"> H5 - '+0.0 seg'!$H$5</f>
        <v>5.0000000000000044E-3</v>
      </c>
      <c r="I17" s="3">
        <f xml:space="preserve"> I5 - '+0.0 seg'!$I$5</f>
        <v>-7.0000000000000062E-3</v>
      </c>
      <c r="J17" s="3">
        <f xml:space="preserve"> J5 - '+0.0 seg'!$J$5</f>
        <v>0</v>
      </c>
      <c r="K17" s="3">
        <f xml:space="preserve"> K5 - '+0.0 seg'!$K$5</f>
        <v>0</v>
      </c>
      <c r="L17" s="3">
        <f xml:space="preserve"> L5 - '+0.0 seg'!$L$5</f>
        <v>0</v>
      </c>
      <c r="M17" s="3">
        <f xml:space="preserve"> M5 - '+0.0 seg'!$M$5</f>
        <v>0</v>
      </c>
    </row>
    <row r="18" spans="1:13" x14ac:dyDescent="0.3">
      <c r="A18" t="s">
        <v>16</v>
      </c>
      <c r="B18" s="3">
        <f xml:space="preserve"> B6 - '+0.0 seg'!$B$6</f>
        <v>5.9999999999999776E-3</v>
      </c>
      <c r="C18" s="3">
        <f xml:space="preserve"> C6 - '+0.0 seg'!$C$6</f>
        <v>6.0000000000000053E-3</v>
      </c>
      <c r="D18" s="3">
        <f xml:space="preserve"> D6 - '+0.0 seg'!$D$6</f>
        <v>1.0000000000000009E-3</v>
      </c>
      <c r="E18" s="3">
        <f xml:space="preserve"> E6 - '+0.0 seg'!$E$6</f>
        <v>0</v>
      </c>
      <c r="F18" s="3">
        <f xml:space="preserve"> F6 - '+0.0 seg'!$F$6</f>
        <v>4.9999999999999906E-3</v>
      </c>
      <c r="G18" s="3">
        <f xml:space="preserve"> G6 - '+0.0 seg'!$G$6</f>
        <v>1.3999999999999985E-2</v>
      </c>
      <c r="H18" s="3">
        <f xml:space="preserve"> H6 - '+0.0 seg'!$H$6</f>
        <v>3.9999999999999897E-3</v>
      </c>
      <c r="I18" s="3">
        <f xml:space="preserve"> I6 - '+0.0 seg'!$I$6</f>
        <v>1.0000000000000009E-3</v>
      </c>
      <c r="J18" s="3">
        <f xml:space="preserve"> J6 - '+0.0 seg'!$J$6</f>
        <v>1.0000000000000009E-3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1.0000000000000009E-3</v>
      </c>
    </row>
    <row r="19" spans="1:13" x14ac:dyDescent="0.3">
      <c r="A19" t="s">
        <v>17</v>
      </c>
      <c r="B19" s="3">
        <f xml:space="preserve"> B7 - '+0.0 seg'!$B$7</f>
        <v>1.0000000000000009E-3</v>
      </c>
      <c r="C19" s="3">
        <f xml:space="preserve"> C7 - '+0.0 seg'!$C$7</f>
        <v>3.0000000000000027E-3</v>
      </c>
      <c r="D19" s="3">
        <f xml:space="preserve"> D7 - '+0.0 seg'!$D$7</f>
        <v>3.0000000000000027E-3</v>
      </c>
      <c r="E19" s="3">
        <f xml:space="preserve"> E7 - '+0.0 seg'!$E$7</f>
        <v>6.0000000000000053E-3</v>
      </c>
      <c r="F19" s="3">
        <f xml:space="preserve"> F7 - '+0.0 seg'!$F$7</f>
        <v>1.1999999999999997E-2</v>
      </c>
      <c r="G19" s="3">
        <f xml:space="preserve"> G7 - '+0.0 seg'!$G$7</f>
        <v>1.2000000000000011E-2</v>
      </c>
      <c r="H19" s="3">
        <f xml:space="preserve"> H7 - '+0.0 seg'!$H$7</f>
        <v>1.2999999999999998E-2</v>
      </c>
      <c r="I19" s="3">
        <f xml:space="preserve"> I7 - '+0.0 seg'!$I$7</f>
        <v>-6.0000000000000053E-3</v>
      </c>
      <c r="J19" s="3">
        <f xml:space="preserve"> J7 - '+0.0 seg'!$J$7</f>
        <v>0</v>
      </c>
      <c r="K19" s="3">
        <f xml:space="preserve"> K7 - '+0.0 seg'!$K$7</f>
        <v>1.0000000000000009E-3</v>
      </c>
      <c r="L19" s="3">
        <f xml:space="preserve"> L7 - '+0.0 seg'!$L$7</f>
        <v>1.0000000000000009E-3</v>
      </c>
      <c r="M19" s="3">
        <f xml:space="preserve"> M7 - '+0.0 seg'!$M$7</f>
        <v>-1.0000000000000009E-3</v>
      </c>
    </row>
    <row r="20" spans="1:13" x14ac:dyDescent="0.3">
      <c r="A20" t="s">
        <v>18</v>
      </c>
      <c r="B20" s="3">
        <f xml:space="preserve"> B8 - '+0.0 seg'!$B$8</f>
        <v>4.9999999999999906E-3</v>
      </c>
      <c r="C20" s="3">
        <f xml:space="preserve"> C8 - '+0.0 seg'!$C$8</f>
        <v>4.0000000000000036E-3</v>
      </c>
      <c r="D20" s="3">
        <f xml:space="preserve"> D8 - '+0.0 seg'!$D$8</f>
        <v>-3.0000000000000027E-3</v>
      </c>
      <c r="E20" s="3">
        <f xml:space="preserve"> E8 - '+0.0 seg'!$E$8</f>
        <v>3.0000000000000027E-3</v>
      </c>
      <c r="F20" s="3">
        <f xml:space="preserve"> F8 - '+0.0 seg'!$F$8</f>
        <v>7.9999999999999932E-3</v>
      </c>
      <c r="G20" s="3">
        <f xml:space="preserve"> G8 - '+0.0 seg'!$G$8</f>
        <v>3.0000000000000027E-3</v>
      </c>
      <c r="H20" s="3">
        <f xml:space="preserve"> H8 - '+0.0 seg'!$H$8</f>
        <v>4.0000000000000036E-3</v>
      </c>
      <c r="I20" s="3">
        <f xml:space="preserve"> I8 - '+0.0 seg'!$I$8</f>
        <v>-2.9999999999999957E-3</v>
      </c>
      <c r="J20" s="3">
        <f xml:space="preserve"> J8 - '+0.0 seg'!$J$8</f>
        <v>-9.9999999999999395E-4</v>
      </c>
      <c r="K20" s="3">
        <f xml:space="preserve"> K8 - '+0.0 seg'!$K$8</f>
        <v>0</v>
      </c>
      <c r="L20" s="3">
        <f xml:space="preserve"> L8 - '+0.0 seg'!$L$8</f>
        <v>2.0000000000000018E-3</v>
      </c>
      <c r="M20" s="3">
        <f xml:space="preserve"> M8 - '+0.0 seg'!$M$8</f>
        <v>0</v>
      </c>
    </row>
    <row r="21" spans="1:13" x14ac:dyDescent="0.3">
      <c r="A21" t="s">
        <v>19</v>
      </c>
      <c r="B21" s="3">
        <f xml:space="preserve"> B9 - '+0.0 seg'!$B$9</f>
        <v>3.0000000000000027E-3</v>
      </c>
      <c r="C21" s="3">
        <f xml:space="preserve"> C9 - '+0.0 seg'!$C$9</f>
        <v>8.0000000000000071E-3</v>
      </c>
      <c r="D21" s="3">
        <f xml:space="preserve"> D9 - '+0.0 seg'!$D$9</f>
        <v>4.9999999999999906E-3</v>
      </c>
      <c r="E21" s="3">
        <f xml:space="preserve"> E9 - '+0.0 seg'!$E$9</f>
        <v>3.0000000000000027E-3</v>
      </c>
      <c r="F21" s="3">
        <f xml:space="preserve"> F9 - '+0.0 seg'!$F$9</f>
        <v>4.9999999999999906E-3</v>
      </c>
      <c r="G21" s="3">
        <f xml:space="preserve"> G9 - '+0.0 seg'!$G$9</f>
        <v>8.9999999999999941E-3</v>
      </c>
      <c r="H21" s="3">
        <f xml:space="preserve"> H9 - '+0.0 seg'!$H$9</f>
        <v>9.9999999999998701E-4</v>
      </c>
      <c r="I21" s="3">
        <f xml:space="preserve"> I9 - '+0.0 seg'!$I$9</f>
        <v>1.0000000000000009E-3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</row>
    <row r="22" spans="1:13" x14ac:dyDescent="0.3">
      <c r="A22" t="s">
        <v>20</v>
      </c>
      <c r="B22" s="3">
        <f xml:space="preserve"> B10 - '+0.0 seg'!$B$10</f>
        <v>-5.0000000000000044E-3</v>
      </c>
      <c r="C22" s="3">
        <f xml:space="preserve"> C10 - '+0.0 seg'!$C$10</f>
        <v>2.1000000000000019E-2</v>
      </c>
      <c r="D22" s="3">
        <f xml:space="preserve"> D10 - '+0.0 seg'!$D$10</f>
        <v>-2.0000000000000018E-3</v>
      </c>
      <c r="E22" s="3">
        <f xml:space="preserve"> E10 - '+0.0 seg'!$E$10</f>
        <v>3.0000000000000027E-3</v>
      </c>
      <c r="F22" s="3">
        <f xml:space="preserve"> F10 - '+0.0 seg'!$F$10</f>
        <v>2.5999999999999995E-2</v>
      </c>
      <c r="G22" s="3">
        <f xml:space="preserve"> G10 - '+0.0 seg'!$G$10</f>
        <v>5.0000000000000044E-3</v>
      </c>
      <c r="H22" s="3">
        <f xml:space="preserve"> H10 - '+0.0 seg'!$H$10</f>
        <v>3.0000000000000027E-3</v>
      </c>
      <c r="I22" s="3">
        <f xml:space="preserve"> I10 - '+0.0 seg'!$I$10</f>
        <v>1.0000000000000009E-3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-3.0000000000000027E-3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3.4999999999999962E-3</v>
      </c>
      <c r="C26" s="3">
        <f>STDEV(B15:C15)</f>
        <v>2.1213203435596346E-3</v>
      </c>
      <c r="D26" s="3">
        <f t="shared" ref="D26:L33" si="0">AVERAGE(D15:E15)</f>
        <v>8.0000000000000071E-3</v>
      </c>
      <c r="E26" s="3">
        <f>STDEV(D15:E15)</f>
        <v>1.4142135623730963E-3</v>
      </c>
      <c r="F26" s="3">
        <f t="shared" si="0"/>
        <v>3.9999999999999966E-3</v>
      </c>
      <c r="G26" s="3">
        <f>STDEV(F15:G15)</f>
        <v>4.2426406871192788E-3</v>
      </c>
      <c r="H26" s="3">
        <f t="shared" si="0"/>
        <v>2.0000000000000018E-3</v>
      </c>
      <c r="I26" s="3">
        <f>STDEV(H15:I15)</f>
        <v>1.4142135623730961E-3</v>
      </c>
      <c r="J26" s="3">
        <f t="shared" si="0"/>
        <v>-1.9999999999999983E-3</v>
      </c>
      <c r="K26" s="3">
        <f>STDEV(J15:K15)</f>
        <v>2.8284271247461874E-3</v>
      </c>
      <c r="L26" s="3">
        <f t="shared" ref="L26:M26" si="1">AVERAGE(L15:M15)</f>
        <v>0</v>
      </c>
      <c r="M26" s="3">
        <f>STDEV(L15:M15)</f>
        <v>0</v>
      </c>
    </row>
    <row r="27" spans="1:13" x14ac:dyDescent="0.3">
      <c r="A27" t="s">
        <v>14</v>
      </c>
      <c r="B27" s="3">
        <f t="shared" ref="B27:B33" si="2">AVERAGE(B16:C16)</f>
        <v>1.9999999999999879E-3</v>
      </c>
      <c r="C27" s="3">
        <f t="shared" ref="C27:E33" si="3">STDEV(B16:C16)</f>
        <v>1.4142135623730768E-3</v>
      </c>
      <c r="D27" s="3">
        <f t="shared" si="0"/>
        <v>4.4999999999999971E-3</v>
      </c>
      <c r="E27" s="3">
        <f t="shared" si="3"/>
        <v>7.0710678118653841E-4</v>
      </c>
      <c r="F27" s="3">
        <f t="shared" si="0"/>
        <v>5.0000000000000044E-3</v>
      </c>
      <c r="G27" s="3">
        <f t="shared" ref="G27:G33" si="4">STDEV(F16:G16)</f>
        <v>0</v>
      </c>
      <c r="H27" s="3">
        <f t="shared" si="0"/>
        <v>4.500000000000004E-3</v>
      </c>
      <c r="I27" s="3">
        <f t="shared" ref="I27:I33" si="5">STDEV(H16:I16)</f>
        <v>2.1213203435596446E-3</v>
      </c>
      <c r="J27" s="3">
        <f t="shared" si="0"/>
        <v>5.0000000000000044E-4</v>
      </c>
      <c r="K27" s="3">
        <f t="shared" ref="K27:K33" si="6">STDEV(J16:K16)</f>
        <v>2.1213203435596446E-3</v>
      </c>
      <c r="L27" s="3">
        <f t="shared" si="0"/>
        <v>-5.0000000000000044E-4</v>
      </c>
      <c r="M27" s="3">
        <f t="shared" ref="M27:M33" si="7">STDEV(L16:M16)</f>
        <v>7.0710678118654816E-4</v>
      </c>
    </row>
    <row r="28" spans="1:13" x14ac:dyDescent="0.3">
      <c r="A28" t="s">
        <v>15</v>
      </c>
      <c r="B28" s="3">
        <f t="shared" si="2"/>
        <v>5.5000000000000049E-3</v>
      </c>
      <c r="C28" s="3">
        <f t="shared" si="3"/>
        <v>4.949747468305836E-3</v>
      </c>
      <c r="D28" s="3">
        <f t="shared" si="0"/>
        <v>1.5000000000000013E-3</v>
      </c>
      <c r="E28" s="3">
        <f t="shared" si="3"/>
        <v>3.5355339059327407E-3</v>
      </c>
      <c r="F28" s="3">
        <f t="shared" si="0"/>
        <v>-1.0000000000000078E-3</v>
      </c>
      <c r="G28" s="3">
        <f t="shared" si="4"/>
        <v>7.0710678118654719E-3</v>
      </c>
      <c r="H28" s="3">
        <f t="shared" si="0"/>
        <v>-1.0000000000000009E-3</v>
      </c>
      <c r="I28" s="3">
        <f t="shared" si="5"/>
        <v>8.4852813742385784E-3</v>
      </c>
      <c r="J28" s="3">
        <f t="shared" si="0"/>
        <v>0</v>
      </c>
      <c r="K28" s="3">
        <f t="shared" si="6"/>
        <v>0</v>
      </c>
      <c r="L28" s="3">
        <f t="shared" si="0"/>
        <v>0</v>
      </c>
      <c r="M28" s="3">
        <f t="shared" si="7"/>
        <v>0</v>
      </c>
    </row>
    <row r="29" spans="1:13" x14ac:dyDescent="0.3">
      <c r="A29" t="s">
        <v>16</v>
      </c>
      <c r="B29" s="3">
        <f t="shared" si="2"/>
        <v>5.9999999999999915E-3</v>
      </c>
      <c r="C29" s="3">
        <f t="shared" si="3"/>
        <v>1.962615573354719E-17</v>
      </c>
      <c r="D29" s="3">
        <f t="shared" si="0"/>
        <v>5.0000000000000044E-4</v>
      </c>
      <c r="E29" s="3">
        <f t="shared" si="3"/>
        <v>7.0710678118654816E-4</v>
      </c>
      <c r="F29" s="3">
        <f t="shared" si="0"/>
        <v>9.4999999999999876E-3</v>
      </c>
      <c r="G29" s="3">
        <f t="shared" si="4"/>
        <v>6.3639610306789217E-3</v>
      </c>
      <c r="H29" s="3">
        <f t="shared" si="0"/>
        <v>2.4999999999999953E-3</v>
      </c>
      <c r="I29" s="3">
        <f t="shared" si="5"/>
        <v>2.1213203435596346E-3</v>
      </c>
      <c r="J29" s="3">
        <f t="shared" si="0"/>
        <v>5.0000000000000044E-4</v>
      </c>
      <c r="K29" s="3">
        <f t="shared" si="6"/>
        <v>7.0710678118654816E-4</v>
      </c>
      <c r="L29" s="3">
        <f t="shared" si="0"/>
        <v>5.0000000000000044E-4</v>
      </c>
      <c r="M29" s="3">
        <f t="shared" si="7"/>
        <v>7.0710678118654816E-4</v>
      </c>
    </row>
    <row r="30" spans="1:13" x14ac:dyDescent="0.3">
      <c r="A30" t="s">
        <v>17</v>
      </c>
      <c r="B30" s="3">
        <f t="shared" si="2"/>
        <v>2.0000000000000018E-3</v>
      </c>
      <c r="C30" s="3">
        <f t="shared" si="3"/>
        <v>1.4142135623730961E-3</v>
      </c>
      <c r="D30" s="3">
        <f t="shared" si="0"/>
        <v>4.500000000000004E-3</v>
      </c>
      <c r="E30" s="3">
        <f t="shared" si="3"/>
        <v>2.1213203435596446E-3</v>
      </c>
      <c r="F30" s="3">
        <f t="shared" si="0"/>
        <v>1.2000000000000004E-2</v>
      </c>
      <c r="G30" s="3">
        <f t="shared" si="4"/>
        <v>9.8130778667735948E-18</v>
      </c>
      <c r="H30" s="3">
        <f t="shared" si="0"/>
        <v>3.4999999999999962E-3</v>
      </c>
      <c r="I30" s="3">
        <f t="shared" si="5"/>
        <v>1.3435028842544406E-2</v>
      </c>
      <c r="J30" s="3">
        <f t="shared" si="0"/>
        <v>5.0000000000000044E-4</v>
      </c>
      <c r="K30" s="3">
        <f t="shared" si="6"/>
        <v>7.0710678118654816E-4</v>
      </c>
      <c r="L30" s="3">
        <f t="shared" si="0"/>
        <v>0</v>
      </c>
      <c r="M30" s="3">
        <f t="shared" si="7"/>
        <v>1.4142135623730963E-3</v>
      </c>
    </row>
    <row r="31" spans="1:13" x14ac:dyDescent="0.3">
      <c r="A31" t="s">
        <v>18</v>
      </c>
      <c r="B31" s="3">
        <f t="shared" si="2"/>
        <v>4.4999999999999971E-3</v>
      </c>
      <c r="C31" s="3">
        <f t="shared" si="3"/>
        <v>7.0710678118653841E-4</v>
      </c>
      <c r="D31" s="3">
        <f t="shared" si="0"/>
        <v>0</v>
      </c>
      <c r="E31" s="3">
        <f t="shared" si="3"/>
        <v>4.2426406871192892E-3</v>
      </c>
      <c r="F31" s="3">
        <f t="shared" si="0"/>
        <v>5.4999999999999979E-3</v>
      </c>
      <c r="G31" s="3">
        <f t="shared" si="4"/>
        <v>3.5355339059327307E-3</v>
      </c>
      <c r="H31" s="3">
        <f t="shared" si="0"/>
        <v>5.0000000000000391E-4</v>
      </c>
      <c r="I31" s="3">
        <f t="shared" si="5"/>
        <v>4.9497474683058325E-3</v>
      </c>
      <c r="J31" s="3">
        <f t="shared" si="0"/>
        <v>-4.9999999999999697E-4</v>
      </c>
      <c r="K31" s="3">
        <f t="shared" si="6"/>
        <v>7.0710678118654328E-4</v>
      </c>
      <c r="L31" s="3">
        <f t="shared" si="0"/>
        <v>1.0000000000000009E-3</v>
      </c>
      <c r="M31" s="3">
        <f t="shared" si="7"/>
        <v>1.4142135623730963E-3</v>
      </c>
    </row>
    <row r="32" spans="1:13" x14ac:dyDescent="0.3">
      <c r="A32" t="s">
        <v>19</v>
      </c>
      <c r="B32" s="3">
        <f t="shared" si="2"/>
        <v>5.5000000000000049E-3</v>
      </c>
      <c r="C32" s="3">
        <f t="shared" si="3"/>
        <v>3.5355339059327411E-3</v>
      </c>
      <c r="D32" s="3">
        <f t="shared" si="0"/>
        <v>3.9999999999999966E-3</v>
      </c>
      <c r="E32" s="3">
        <f t="shared" si="3"/>
        <v>1.4142135623730866E-3</v>
      </c>
      <c r="F32" s="3">
        <f t="shared" si="0"/>
        <v>6.9999999999999923E-3</v>
      </c>
      <c r="G32" s="3">
        <f t="shared" si="4"/>
        <v>2.8284271247461935E-3</v>
      </c>
      <c r="H32" s="3">
        <f t="shared" si="0"/>
        <v>9.9999999999999395E-4</v>
      </c>
      <c r="I32" s="3">
        <f t="shared" si="5"/>
        <v>9.8130778667735948E-18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0</v>
      </c>
      <c r="M32" s="3">
        <f t="shared" si="7"/>
        <v>0</v>
      </c>
    </row>
    <row r="33" spans="1:13" x14ac:dyDescent="0.3">
      <c r="A33" t="s">
        <v>20</v>
      </c>
      <c r="B33" s="3">
        <f t="shared" si="2"/>
        <v>8.0000000000000071E-3</v>
      </c>
      <c r="C33" s="3">
        <f t="shared" si="3"/>
        <v>1.8384776310850254E-2</v>
      </c>
      <c r="D33" s="3">
        <f t="shared" si="0"/>
        <v>5.0000000000000044E-4</v>
      </c>
      <c r="E33" s="3">
        <f t="shared" si="3"/>
        <v>3.5355339059327407E-3</v>
      </c>
      <c r="F33" s="3">
        <f t="shared" si="0"/>
        <v>1.55E-2</v>
      </c>
      <c r="G33" s="3">
        <f t="shared" si="4"/>
        <v>1.4849242404917492E-2</v>
      </c>
      <c r="H33" s="3">
        <f t="shared" si="0"/>
        <v>2.0000000000000018E-3</v>
      </c>
      <c r="I33" s="3">
        <f t="shared" si="5"/>
        <v>1.4142135623730961E-3</v>
      </c>
      <c r="J33" s="3">
        <f t="shared" si="0"/>
        <v>0</v>
      </c>
      <c r="K33" s="3">
        <f t="shared" si="6"/>
        <v>0</v>
      </c>
      <c r="L33" s="3">
        <f t="shared" si="0"/>
        <v>-1.5000000000000013E-3</v>
      </c>
      <c r="M33" s="3">
        <f t="shared" si="7"/>
        <v>2.1213203435596446E-3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3"/>
  <sheetViews>
    <sheetView workbookViewId="0">
      <selection activeCell="A25" sqref="A25:M33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0.10100000000000001</v>
      </c>
      <c r="C3">
        <v>0.09</v>
      </c>
      <c r="D3">
        <v>8.1000000000000003E-2</v>
      </c>
      <c r="E3">
        <v>9.0999999999999998E-2</v>
      </c>
      <c r="F3">
        <v>0.14899999999999999</v>
      </c>
      <c r="G3">
        <v>0.123</v>
      </c>
      <c r="H3">
        <v>8.5000000000000006E-2</v>
      </c>
      <c r="I3">
        <v>6.3E-2</v>
      </c>
      <c r="J3">
        <v>5.0999999999999997E-2</v>
      </c>
      <c r="K3">
        <v>4.8000000000000001E-2</v>
      </c>
      <c r="L3">
        <v>0.12</v>
      </c>
      <c r="M3">
        <v>9.2999999999999999E-2</v>
      </c>
    </row>
    <row r="4" spans="1:13" x14ac:dyDescent="0.3">
      <c r="A4" t="s">
        <v>14</v>
      </c>
      <c r="B4">
        <v>0.13</v>
      </c>
      <c r="C4">
        <v>0.14299999999999999</v>
      </c>
      <c r="D4">
        <v>0.08</v>
      </c>
      <c r="E4">
        <v>8.7999999999999995E-2</v>
      </c>
      <c r="F4">
        <v>0.151</v>
      </c>
      <c r="G4">
        <v>0.13200000000000001</v>
      </c>
      <c r="H4">
        <v>9.8000000000000004E-2</v>
      </c>
      <c r="I4">
        <v>9.5000000000000001E-2</v>
      </c>
      <c r="J4">
        <v>6.0999999999999999E-2</v>
      </c>
      <c r="K4">
        <v>5.3999999999999999E-2</v>
      </c>
      <c r="L4">
        <v>9.2999999999999999E-2</v>
      </c>
      <c r="M4">
        <v>0.111</v>
      </c>
    </row>
    <row r="5" spans="1:13" x14ac:dyDescent="0.3">
      <c r="A5" t="s">
        <v>15</v>
      </c>
      <c r="B5">
        <v>0.14299999999999999</v>
      </c>
      <c r="C5">
        <v>0.151</v>
      </c>
      <c r="D5">
        <v>8.4000000000000005E-2</v>
      </c>
      <c r="E5">
        <v>7.9000000000000001E-2</v>
      </c>
      <c r="F5">
        <v>0.106</v>
      </c>
      <c r="G5">
        <v>0.11</v>
      </c>
      <c r="H5">
        <v>8.1000000000000003E-2</v>
      </c>
      <c r="I5">
        <v>6.3E-2</v>
      </c>
      <c r="J5">
        <v>9.4E-2</v>
      </c>
      <c r="K5">
        <v>0.11799999999999999</v>
      </c>
      <c r="L5">
        <v>0.114</v>
      </c>
      <c r="M5">
        <v>0.107</v>
      </c>
    </row>
    <row r="6" spans="1:13" x14ac:dyDescent="0.3">
      <c r="A6" t="s">
        <v>16</v>
      </c>
      <c r="B6">
        <v>0.17799999999999999</v>
      </c>
      <c r="C6">
        <v>0.191</v>
      </c>
      <c r="D6">
        <v>8.3000000000000004E-2</v>
      </c>
      <c r="E6">
        <v>9.0999999999999998E-2</v>
      </c>
      <c r="F6">
        <v>0.123</v>
      </c>
      <c r="G6">
        <v>0.214</v>
      </c>
      <c r="H6">
        <v>7.0999999999999994E-2</v>
      </c>
      <c r="I6">
        <v>0.11</v>
      </c>
      <c r="J6">
        <v>8.4000000000000005E-2</v>
      </c>
      <c r="K6">
        <v>8.4000000000000005E-2</v>
      </c>
      <c r="L6">
        <v>0.10100000000000001</v>
      </c>
      <c r="M6">
        <v>9.8000000000000004E-2</v>
      </c>
    </row>
    <row r="7" spans="1:13" x14ac:dyDescent="0.3">
      <c r="A7" t="s">
        <v>17</v>
      </c>
      <c r="B7">
        <v>0.13500000000000001</v>
      </c>
      <c r="C7">
        <v>0.151</v>
      </c>
      <c r="D7">
        <v>8.3000000000000004E-2</v>
      </c>
      <c r="E7">
        <v>9.4E-2</v>
      </c>
      <c r="F7">
        <v>0.123</v>
      </c>
      <c r="G7">
        <v>0.11600000000000001</v>
      </c>
      <c r="H7">
        <v>0.107</v>
      </c>
      <c r="I7">
        <v>7.9000000000000001E-2</v>
      </c>
      <c r="J7">
        <v>6.8000000000000005E-2</v>
      </c>
      <c r="K7">
        <v>7.0000000000000007E-2</v>
      </c>
      <c r="L7">
        <v>0.625</v>
      </c>
      <c r="M7">
        <v>9.6000000000000002E-2</v>
      </c>
    </row>
    <row r="8" spans="1:13" x14ac:dyDescent="0.3">
      <c r="A8" t="s">
        <v>18</v>
      </c>
      <c r="B8">
        <v>0.121</v>
      </c>
      <c r="C8">
        <v>9.4E-2</v>
      </c>
      <c r="D8">
        <v>7.5999999999999998E-2</v>
      </c>
      <c r="E8">
        <v>7.9000000000000001E-2</v>
      </c>
      <c r="F8">
        <v>0.10299999999999999</v>
      </c>
      <c r="G8">
        <v>8.2000000000000003E-2</v>
      </c>
      <c r="H8">
        <v>0.08</v>
      </c>
      <c r="I8">
        <v>5.7000000000000002E-2</v>
      </c>
      <c r="J8">
        <v>4.9000000000000002E-2</v>
      </c>
      <c r="K8">
        <v>6.2E-2</v>
      </c>
      <c r="L8">
        <v>0.36499999999999999</v>
      </c>
      <c r="M8">
        <v>9.7000000000000003E-2</v>
      </c>
    </row>
    <row r="9" spans="1:13" x14ac:dyDescent="0.3">
      <c r="A9" t="s">
        <v>19</v>
      </c>
      <c r="B9">
        <v>0.155</v>
      </c>
      <c r="C9">
        <v>0.17</v>
      </c>
      <c r="D9">
        <v>0.105</v>
      </c>
      <c r="E9">
        <v>0.108</v>
      </c>
      <c r="F9">
        <v>0.121</v>
      </c>
      <c r="G9">
        <v>0.107</v>
      </c>
      <c r="H9">
        <v>7.0999999999999994E-2</v>
      </c>
      <c r="I9">
        <v>7.5999999999999998E-2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3">
      <c r="A10" t="s">
        <v>20</v>
      </c>
      <c r="B10">
        <v>0.21199999999999999</v>
      </c>
      <c r="C10">
        <v>0.22500000000000001</v>
      </c>
      <c r="D10">
        <v>0.10299999999999999</v>
      </c>
      <c r="E10">
        <v>0.114</v>
      </c>
      <c r="F10">
        <v>0.254</v>
      </c>
      <c r="G10">
        <v>0.16300000000000001</v>
      </c>
      <c r="H10">
        <v>0.1</v>
      </c>
      <c r="I10">
        <v>9.5000000000000001E-2</v>
      </c>
      <c r="J10">
        <v>9.6000000000000002E-2</v>
      </c>
      <c r="K10">
        <v>0.125</v>
      </c>
      <c r="L10">
        <v>0.125</v>
      </c>
      <c r="M10">
        <v>9.2999999999999999E-2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3.0000000000000027E-3</v>
      </c>
      <c r="C15" s="3">
        <f xml:space="preserve"> C3 - '+0.0 seg'!$C$3</f>
        <v>4.9999999999999906E-3</v>
      </c>
      <c r="D15" s="3">
        <f xml:space="preserve"> D3 - '+0.0 seg'!$D$3</f>
        <v>8.0000000000000071E-3</v>
      </c>
      <c r="E15" s="3">
        <f xml:space="preserve"> E3 - '+0.0 seg'!$E$3</f>
        <v>4.0000000000000036E-3</v>
      </c>
      <c r="F15" s="3">
        <f xml:space="preserve"> F3 - '+0.0 seg'!$F$3</f>
        <v>2.0000000000000018E-3</v>
      </c>
      <c r="G15" s="3">
        <f xml:space="preserve"> G3 - '+0.0 seg'!$G$3</f>
        <v>7.9999999999999932E-3</v>
      </c>
      <c r="H15" s="3">
        <f xml:space="preserve"> H3 - '+0.0 seg'!$H$3</f>
        <v>2.0000000000000018E-3</v>
      </c>
      <c r="I15" s="3">
        <f xml:space="preserve"> I3 - '+0.0 seg'!$I$3</f>
        <v>2.0000000000000018E-3</v>
      </c>
      <c r="J15" s="3">
        <f xml:space="preserve"> J3 - '+0.0 seg'!$J$3</f>
        <v>0</v>
      </c>
      <c r="K15" s="3">
        <f xml:space="preserve"> K3 - '+0.0 seg'!$K$3</f>
        <v>-3.9999999999999966E-3</v>
      </c>
      <c r="L15" s="3">
        <f xml:space="preserve"> L3 - '+0.0 seg'!$L$3</f>
        <v>0</v>
      </c>
      <c r="M15" s="3">
        <f xml:space="preserve"> M3 - '+0.0 seg'!$M$3</f>
        <v>1.0000000000000009E-3</v>
      </c>
    </row>
    <row r="16" spans="1:13" x14ac:dyDescent="0.3">
      <c r="A16" t="s">
        <v>14</v>
      </c>
      <c r="B16" s="3">
        <f xml:space="preserve"> B4 - '+0.0 seg'!$B$4</f>
        <v>2.0000000000000018E-3</v>
      </c>
      <c r="C16" s="3">
        <f xml:space="preserve"> C4 - '+0.0 seg'!$C$4</f>
        <v>2.9999999999999749E-3</v>
      </c>
      <c r="D16" s="3">
        <f xml:space="preserve"> D4 - '+0.0 seg'!$D$4</f>
        <v>4.0000000000000036E-3</v>
      </c>
      <c r="E16" s="3">
        <f xml:space="preserve"> E4 - '+0.0 seg'!$E$4</f>
        <v>3.9999999999999897E-3</v>
      </c>
      <c r="F16" s="3">
        <f xml:space="preserve"> F4 - '+0.0 seg'!$F$4</f>
        <v>5.0000000000000044E-3</v>
      </c>
      <c r="G16" s="3">
        <f xml:space="preserve"> G4 - '+0.0 seg'!$G$4</f>
        <v>5.0000000000000044E-3</v>
      </c>
      <c r="H16" s="3">
        <f xml:space="preserve"> H4 - '+0.0 seg'!$H$4</f>
        <v>7.0000000000000062E-3</v>
      </c>
      <c r="I16" s="3">
        <f xml:space="preserve"> I4 - '+0.0 seg'!$I$4</f>
        <v>3.0000000000000027E-3</v>
      </c>
      <c r="J16" s="3">
        <f xml:space="preserve"> J4 - '+0.0 seg'!$J$4</f>
        <v>-1.0000000000000009E-3</v>
      </c>
      <c r="K16" s="3">
        <f xml:space="preserve"> K4 - '+0.0 seg'!$K$4</f>
        <v>2.0000000000000018E-3</v>
      </c>
      <c r="L16" s="3">
        <f xml:space="preserve"> L4 - '+0.0 seg'!$L$4</f>
        <v>-1.0000000000000009E-3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2.0000000000000018E-3</v>
      </c>
      <c r="C17" s="3">
        <f xml:space="preserve"> C5 - '+0.0 seg'!$C$5</f>
        <v>9.000000000000008E-3</v>
      </c>
      <c r="D17" s="3">
        <f xml:space="preserve"> D5 - '+0.0 seg'!$D$5</f>
        <v>4.0000000000000036E-3</v>
      </c>
      <c r="E17" s="3">
        <f xml:space="preserve"> E5 - '+0.0 seg'!$E$5</f>
        <v>-1.0000000000000009E-3</v>
      </c>
      <c r="F17" s="3">
        <f xml:space="preserve"> F5 - '+0.0 seg'!$F$5</f>
        <v>4.9999999999999906E-3</v>
      </c>
      <c r="G17" s="3">
        <f xml:space="preserve"> G5 - '+0.0 seg'!$G$5</f>
        <v>-6.0000000000000053E-3</v>
      </c>
      <c r="H17" s="3">
        <f xml:space="preserve"> H5 - '+0.0 seg'!$H$5</f>
        <v>6.0000000000000053E-3</v>
      </c>
      <c r="I17" s="3">
        <f xml:space="preserve"> I5 - '+0.0 seg'!$I$5</f>
        <v>-6.0000000000000053E-3</v>
      </c>
      <c r="J17" s="3">
        <f xml:space="preserve"> J5 - '+0.0 seg'!$J$5</f>
        <v>0</v>
      </c>
      <c r="K17" s="3">
        <f xml:space="preserve"> K5 - '+0.0 seg'!$K$5</f>
        <v>0</v>
      </c>
      <c r="L17" s="3">
        <f xml:space="preserve"> L5 - '+0.0 seg'!$L$5</f>
        <v>0</v>
      </c>
      <c r="M17" s="3">
        <f xml:space="preserve"> M5 - '+0.0 seg'!$M$5</f>
        <v>0</v>
      </c>
    </row>
    <row r="18" spans="1:13" x14ac:dyDescent="0.3">
      <c r="A18" t="s">
        <v>16</v>
      </c>
      <c r="B18" s="3">
        <f xml:space="preserve"> B6 - '+0.0 seg'!$B$6</f>
        <v>6.9999999999999785E-3</v>
      </c>
      <c r="C18" s="3">
        <f xml:space="preserve"> C6 - '+0.0 seg'!$C$6</f>
        <v>7.0000000000000062E-3</v>
      </c>
      <c r="D18" s="3">
        <f xml:space="preserve"> D6 - '+0.0 seg'!$D$6</f>
        <v>1.0000000000000009E-3</v>
      </c>
      <c r="E18" s="3">
        <f xml:space="preserve"> E6 - '+0.0 seg'!$E$6</f>
        <v>0</v>
      </c>
      <c r="F18" s="3">
        <f xml:space="preserve"> F6 - '+0.0 seg'!$F$6</f>
        <v>5.9999999999999915E-3</v>
      </c>
      <c r="G18" s="3">
        <f xml:space="preserve"> G6 - '+0.0 seg'!$G$6</f>
        <v>1.4999999999999986E-2</v>
      </c>
      <c r="H18" s="3">
        <f xml:space="preserve"> H6 - '+0.0 seg'!$H$6</f>
        <v>2.9999999999999888E-3</v>
      </c>
      <c r="I18" s="3">
        <f xml:space="preserve"> I6 - '+0.0 seg'!$I$6</f>
        <v>1.0000000000000009E-3</v>
      </c>
      <c r="J18" s="3">
        <f xml:space="preserve"> J6 - '+0.0 seg'!$J$6</f>
        <v>1.0000000000000009E-3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1.0000000000000009E-3</v>
      </c>
    </row>
    <row r="19" spans="1:13" x14ac:dyDescent="0.3">
      <c r="A19" t="s">
        <v>17</v>
      </c>
      <c r="B19" s="3">
        <f xml:space="preserve"> B7 - '+0.0 seg'!$B$7</f>
        <v>1.0000000000000009E-3</v>
      </c>
      <c r="C19" s="3">
        <f xml:space="preserve"> C7 - '+0.0 seg'!$C$7</f>
        <v>0</v>
      </c>
      <c r="D19" s="3">
        <f xml:space="preserve"> D7 - '+0.0 seg'!$D$7</f>
        <v>3.0000000000000027E-3</v>
      </c>
      <c r="E19" s="3">
        <f xml:space="preserve"> E7 - '+0.0 seg'!$E$7</f>
        <v>6.0000000000000053E-3</v>
      </c>
      <c r="F19" s="3">
        <f xml:space="preserve"> F7 - '+0.0 seg'!$F$7</f>
        <v>1.0999999999999996E-2</v>
      </c>
      <c r="G19" s="3">
        <f xml:space="preserve"> G7 - '+0.0 seg'!$G$7</f>
        <v>1.3000000000000012E-2</v>
      </c>
      <c r="H19" s="3">
        <f xml:space="preserve"> H7 - '+0.0 seg'!$H$7</f>
        <v>1.2999999999999998E-2</v>
      </c>
      <c r="I19" s="3">
        <f xml:space="preserve"> I7 - '+0.0 seg'!$I$7</f>
        <v>-5.0000000000000044E-3</v>
      </c>
      <c r="J19" s="3">
        <f xml:space="preserve"> J7 - '+0.0 seg'!$J$7</f>
        <v>-1.0000000000000009E-3</v>
      </c>
      <c r="K19" s="3">
        <f xml:space="preserve"> K7 - '+0.0 seg'!$K$7</f>
        <v>1.0000000000000009E-3</v>
      </c>
      <c r="L19" s="3">
        <f xml:space="preserve"> L7 - '+0.0 seg'!$L$7</f>
        <v>-1.8000000000000016E-2</v>
      </c>
      <c r="M19" s="3">
        <f xml:space="preserve"> M7 - '+0.0 seg'!$M$7</f>
        <v>-1.0000000000000009E-3</v>
      </c>
    </row>
    <row r="20" spans="1:13" x14ac:dyDescent="0.3">
      <c r="A20" t="s">
        <v>18</v>
      </c>
      <c r="B20" s="3">
        <f xml:space="preserve"> B8 - '+0.0 seg'!$B$8</f>
        <v>4.9999999999999906E-3</v>
      </c>
      <c r="C20" s="3">
        <f xml:space="preserve"> C8 - '+0.0 seg'!$C$8</f>
        <v>3.0000000000000027E-3</v>
      </c>
      <c r="D20" s="3">
        <f xml:space="preserve"> D8 - '+0.0 seg'!$D$8</f>
        <v>-3.0000000000000027E-3</v>
      </c>
      <c r="E20" s="3">
        <f xml:space="preserve"> E8 - '+0.0 seg'!$E$8</f>
        <v>4.0000000000000036E-3</v>
      </c>
      <c r="F20" s="3">
        <f xml:space="preserve"> F8 - '+0.0 seg'!$F$8</f>
        <v>6.9999999999999923E-3</v>
      </c>
      <c r="G20" s="3">
        <f xml:space="preserve"> G8 - '+0.0 seg'!$G$8</f>
        <v>3.0000000000000027E-3</v>
      </c>
      <c r="H20" s="3">
        <f xml:space="preserve"> H8 - '+0.0 seg'!$H$8</f>
        <v>4.0000000000000036E-3</v>
      </c>
      <c r="I20" s="3">
        <f xml:space="preserve"> I8 - '+0.0 seg'!$I$8</f>
        <v>-1.9999999999999948E-3</v>
      </c>
      <c r="J20" s="3">
        <f xml:space="preserve"> J8 - '+0.0 seg'!$J$8</f>
        <v>-1.9999999999999948E-3</v>
      </c>
      <c r="K20" s="3">
        <f xml:space="preserve"> K8 - '+0.0 seg'!$K$8</f>
        <v>0</v>
      </c>
      <c r="L20" s="3">
        <f xml:space="preserve"> L8 - '+0.0 seg'!$L$8</f>
        <v>-4.0000000000000036E-3</v>
      </c>
      <c r="M20" s="3">
        <f xml:space="preserve"> M8 - '+0.0 seg'!$M$8</f>
        <v>0</v>
      </c>
    </row>
    <row r="21" spans="1:13" x14ac:dyDescent="0.3">
      <c r="A21" t="s">
        <v>19</v>
      </c>
      <c r="B21" s="3">
        <f xml:space="preserve"> B9 - '+0.0 seg'!$B$9</f>
        <v>4.0000000000000036E-3</v>
      </c>
      <c r="C21" s="3">
        <f xml:space="preserve"> C9 - '+0.0 seg'!$C$9</f>
        <v>8.0000000000000071E-3</v>
      </c>
      <c r="D21" s="3">
        <f xml:space="preserve"> D9 - '+0.0 seg'!$D$9</f>
        <v>4.9999999999999906E-3</v>
      </c>
      <c r="E21" s="3">
        <f xml:space="preserve"> E9 - '+0.0 seg'!$E$9</f>
        <v>3.0000000000000027E-3</v>
      </c>
      <c r="F21" s="3">
        <f xml:space="preserve"> F9 - '+0.0 seg'!$F$9</f>
        <v>4.9999999999999906E-3</v>
      </c>
      <c r="G21" s="3">
        <f xml:space="preserve"> G9 - '+0.0 seg'!$G$9</f>
        <v>8.9999999999999941E-3</v>
      </c>
      <c r="H21" s="3">
        <f xml:space="preserve"> H9 - '+0.0 seg'!$H$9</f>
        <v>9.9999999999998701E-4</v>
      </c>
      <c r="I21" s="3">
        <f xml:space="preserve"> I9 - '+0.0 seg'!$I$9</f>
        <v>2.0000000000000018E-3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</row>
    <row r="22" spans="1:13" x14ac:dyDescent="0.3">
      <c r="A22" t="s">
        <v>20</v>
      </c>
      <c r="B22" s="3">
        <f xml:space="preserve"> B10 - '+0.0 seg'!$B$10</f>
        <v>-7.0000000000000062E-3</v>
      </c>
      <c r="C22" s="3">
        <f xml:space="preserve"> C10 - '+0.0 seg'!$C$10</f>
        <v>2.0000000000000018E-2</v>
      </c>
      <c r="D22" s="3">
        <f xml:space="preserve"> D10 - '+0.0 seg'!$D$10</f>
        <v>-2.0000000000000018E-3</v>
      </c>
      <c r="E22" s="3">
        <f xml:space="preserve"> E10 - '+0.0 seg'!$E$10</f>
        <v>2.0000000000000018E-3</v>
      </c>
      <c r="F22" s="3">
        <f xml:space="preserve"> F10 - '+0.0 seg'!$F$10</f>
        <v>2.7999999999999997E-2</v>
      </c>
      <c r="G22" s="3">
        <f xml:space="preserve"> G10 - '+0.0 seg'!$G$10</f>
        <v>4.0000000000000036E-3</v>
      </c>
      <c r="H22" s="3">
        <f xml:space="preserve"> H10 - '+0.0 seg'!$H$10</f>
        <v>3.0000000000000027E-3</v>
      </c>
      <c r="I22" s="3">
        <f xml:space="preserve"> I10 - '+0.0 seg'!$I$10</f>
        <v>3.0000000000000027E-3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-3.0000000000000027E-3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3.9999999999999966E-3</v>
      </c>
      <c r="C26" s="3">
        <f>STDEV(B15:C15)</f>
        <v>1.4142135623730866E-3</v>
      </c>
      <c r="D26" s="3">
        <f t="shared" ref="D26:L33" si="0">AVERAGE(D15:E15)</f>
        <v>6.0000000000000053E-3</v>
      </c>
      <c r="E26" s="3">
        <f>STDEV(D15:E15)</f>
        <v>2.8284271247461957E-3</v>
      </c>
      <c r="F26" s="3">
        <f t="shared" si="0"/>
        <v>4.9999999999999975E-3</v>
      </c>
      <c r="G26" s="3">
        <f>STDEV(F15:G15)</f>
        <v>4.2426406871192788E-3</v>
      </c>
      <c r="H26" s="3">
        <f t="shared" si="0"/>
        <v>2.0000000000000018E-3</v>
      </c>
      <c r="I26" s="3">
        <f>STDEV(H15:I15)</f>
        <v>0</v>
      </c>
      <c r="J26" s="3">
        <f t="shared" si="0"/>
        <v>-1.9999999999999983E-3</v>
      </c>
      <c r="K26" s="3">
        <f>STDEV(J15:K15)</f>
        <v>2.8284271247461874E-3</v>
      </c>
      <c r="L26" s="3">
        <f t="shared" ref="L26:M26" si="1">AVERAGE(L15:M15)</f>
        <v>5.0000000000000044E-4</v>
      </c>
      <c r="M26" s="3">
        <f>STDEV(L15:M15)</f>
        <v>7.0710678118654816E-4</v>
      </c>
    </row>
    <row r="27" spans="1:13" x14ac:dyDescent="0.3">
      <c r="A27" t="s">
        <v>14</v>
      </c>
      <c r="B27" s="3">
        <f t="shared" ref="B27:B33" si="2">AVERAGE(B16:C16)</f>
        <v>2.4999999999999883E-3</v>
      </c>
      <c r="C27" s="3">
        <f t="shared" ref="C27:E33" si="3">STDEV(B16:C16)</f>
        <v>7.0710678118652854E-4</v>
      </c>
      <c r="D27" s="3">
        <f t="shared" si="0"/>
        <v>3.9999999999999966E-3</v>
      </c>
      <c r="E27" s="3">
        <f t="shared" si="3"/>
        <v>9.8130778667735948E-18</v>
      </c>
      <c r="F27" s="3">
        <f t="shared" si="0"/>
        <v>5.0000000000000044E-3</v>
      </c>
      <c r="G27" s="3">
        <f t="shared" ref="G27:G33" si="4">STDEV(F16:G16)</f>
        <v>0</v>
      </c>
      <c r="H27" s="3">
        <f t="shared" si="0"/>
        <v>5.0000000000000044E-3</v>
      </c>
      <c r="I27" s="3">
        <f t="shared" ref="I27:I33" si="5">STDEV(H16:I16)</f>
        <v>2.8284271247461922E-3</v>
      </c>
      <c r="J27" s="3">
        <f t="shared" si="0"/>
        <v>5.0000000000000044E-4</v>
      </c>
      <c r="K27" s="3">
        <f t="shared" ref="K27:K33" si="6">STDEV(J16:K16)</f>
        <v>2.1213203435596446E-3</v>
      </c>
      <c r="L27" s="3">
        <f t="shared" si="0"/>
        <v>-5.0000000000000044E-4</v>
      </c>
      <c r="M27" s="3">
        <f t="shared" ref="M27:M33" si="7">STDEV(L16:M16)</f>
        <v>7.0710678118654816E-4</v>
      </c>
    </row>
    <row r="28" spans="1:13" x14ac:dyDescent="0.3">
      <c r="A28" t="s">
        <v>15</v>
      </c>
      <c r="B28" s="3">
        <f t="shared" si="2"/>
        <v>5.5000000000000049E-3</v>
      </c>
      <c r="C28" s="3">
        <f t="shared" si="3"/>
        <v>4.949747468305836E-3</v>
      </c>
      <c r="D28" s="3">
        <f t="shared" si="0"/>
        <v>1.5000000000000013E-3</v>
      </c>
      <c r="E28" s="3">
        <f t="shared" si="3"/>
        <v>3.5355339059327407E-3</v>
      </c>
      <c r="F28" s="3">
        <f t="shared" si="0"/>
        <v>-5.0000000000000738E-4</v>
      </c>
      <c r="G28" s="3">
        <f t="shared" si="4"/>
        <v>7.7781745930520195E-3</v>
      </c>
      <c r="H28" s="3">
        <f t="shared" si="0"/>
        <v>0</v>
      </c>
      <c r="I28" s="3">
        <f t="shared" si="5"/>
        <v>8.4852813742385784E-3</v>
      </c>
      <c r="J28" s="3">
        <f t="shared" si="0"/>
        <v>0</v>
      </c>
      <c r="K28" s="3">
        <f t="shared" si="6"/>
        <v>0</v>
      </c>
      <c r="L28" s="3">
        <f t="shared" si="0"/>
        <v>0</v>
      </c>
      <c r="M28" s="3">
        <f t="shared" si="7"/>
        <v>0</v>
      </c>
    </row>
    <row r="29" spans="1:13" x14ac:dyDescent="0.3">
      <c r="A29" t="s">
        <v>16</v>
      </c>
      <c r="B29" s="3">
        <f t="shared" si="2"/>
        <v>6.9999999999999923E-3</v>
      </c>
      <c r="C29" s="3">
        <f t="shared" si="3"/>
        <v>1.962615573354719E-17</v>
      </c>
      <c r="D29" s="3">
        <f t="shared" si="0"/>
        <v>5.0000000000000044E-4</v>
      </c>
      <c r="E29" s="3">
        <f t="shared" si="3"/>
        <v>7.0710678118654816E-4</v>
      </c>
      <c r="F29" s="3">
        <f t="shared" si="0"/>
        <v>1.0499999999999989E-2</v>
      </c>
      <c r="G29" s="3">
        <f t="shared" si="4"/>
        <v>6.3639610306789243E-3</v>
      </c>
      <c r="H29" s="3">
        <f t="shared" si="0"/>
        <v>1.9999999999999948E-3</v>
      </c>
      <c r="I29" s="3">
        <f t="shared" si="5"/>
        <v>1.4142135623730866E-3</v>
      </c>
      <c r="J29" s="3">
        <f t="shared" si="0"/>
        <v>5.0000000000000044E-4</v>
      </c>
      <c r="K29" s="3">
        <f t="shared" si="6"/>
        <v>7.0710678118654816E-4</v>
      </c>
      <c r="L29" s="3">
        <f t="shared" si="0"/>
        <v>5.0000000000000044E-4</v>
      </c>
      <c r="M29" s="3">
        <f t="shared" si="7"/>
        <v>7.0710678118654816E-4</v>
      </c>
    </row>
    <row r="30" spans="1:13" x14ac:dyDescent="0.3">
      <c r="A30" t="s">
        <v>17</v>
      </c>
      <c r="B30" s="3">
        <f t="shared" si="2"/>
        <v>5.0000000000000044E-4</v>
      </c>
      <c r="C30" s="3">
        <f t="shared" si="3"/>
        <v>7.0710678118654816E-4</v>
      </c>
      <c r="D30" s="3">
        <f t="shared" si="0"/>
        <v>4.500000000000004E-3</v>
      </c>
      <c r="E30" s="3">
        <f t="shared" si="3"/>
        <v>2.1213203435596446E-3</v>
      </c>
      <c r="F30" s="3">
        <f t="shared" si="0"/>
        <v>1.2000000000000004E-2</v>
      </c>
      <c r="G30" s="3">
        <f t="shared" si="4"/>
        <v>1.4142135623731061E-3</v>
      </c>
      <c r="H30" s="3">
        <f t="shared" si="0"/>
        <v>3.9999999999999966E-3</v>
      </c>
      <c r="I30" s="3">
        <f t="shared" si="5"/>
        <v>1.2727922061357857E-2</v>
      </c>
      <c r="J30" s="3">
        <f t="shared" si="0"/>
        <v>0</v>
      </c>
      <c r="K30" s="3">
        <f t="shared" si="6"/>
        <v>1.4142135623730963E-3</v>
      </c>
      <c r="L30" s="3">
        <f t="shared" si="0"/>
        <v>-9.5000000000000084E-3</v>
      </c>
      <c r="M30" s="3">
        <f t="shared" si="7"/>
        <v>1.2020815280171319E-2</v>
      </c>
    </row>
    <row r="31" spans="1:13" x14ac:dyDescent="0.3">
      <c r="A31" t="s">
        <v>18</v>
      </c>
      <c r="B31" s="3">
        <f t="shared" si="2"/>
        <v>3.9999999999999966E-3</v>
      </c>
      <c r="C31" s="3">
        <f t="shared" si="3"/>
        <v>1.4142135623730866E-3</v>
      </c>
      <c r="D31" s="3">
        <f t="shared" si="0"/>
        <v>5.0000000000000044E-4</v>
      </c>
      <c r="E31" s="3">
        <f t="shared" si="3"/>
        <v>4.9497474683058368E-3</v>
      </c>
      <c r="F31" s="3">
        <f t="shared" si="0"/>
        <v>4.9999999999999975E-3</v>
      </c>
      <c r="G31" s="3">
        <f t="shared" si="4"/>
        <v>2.8284271247461827E-3</v>
      </c>
      <c r="H31" s="3">
        <f t="shared" si="0"/>
        <v>1.0000000000000044E-3</v>
      </c>
      <c r="I31" s="3">
        <f t="shared" si="5"/>
        <v>4.242640687119284E-3</v>
      </c>
      <c r="J31" s="3">
        <f t="shared" si="0"/>
        <v>-9.9999999999999742E-4</v>
      </c>
      <c r="K31" s="3">
        <f t="shared" si="6"/>
        <v>1.4142135623730913E-3</v>
      </c>
      <c r="L31" s="3">
        <f t="shared" si="0"/>
        <v>-2.0000000000000018E-3</v>
      </c>
      <c r="M31" s="3">
        <f t="shared" si="7"/>
        <v>2.8284271247461927E-3</v>
      </c>
    </row>
    <row r="32" spans="1:13" x14ac:dyDescent="0.3">
      <c r="A32" t="s">
        <v>19</v>
      </c>
      <c r="B32" s="3">
        <f t="shared" si="2"/>
        <v>6.0000000000000053E-3</v>
      </c>
      <c r="C32" s="3">
        <f t="shared" si="3"/>
        <v>2.8284271247461957E-3</v>
      </c>
      <c r="D32" s="3">
        <f t="shared" si="0"/>
        <v>3.9999999999999966E-3</v>
      </c>
      <c r="E32" s="3">
        <f t="shared" si="3"/>
        <v>1.4142135623730866E-3</v>
      </c>
      <c r="F32" s="3">
        <f t="shared" si="0"/>
        <v>6.9999999999999923E-3</v>
      </c>
      <c r="G32" s="3">
        <f t="shared" si="4"/>
        <v>2.8284271247461935E-3</v>
      </c>
      <c r="H32" s="3">
        <f t="shared" si="0"/>
        <v>1.4999999999999944E-3</v>
      </c>
      <c r="I32" s="3">
        <f t="shared" si="5"/>
        <v>7.0710678118655803E-4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0</v>
      </c>
      <c r="M32" s="3">
        <f t="shared" si="7"/>
        <v>0</v>
      </c>
    </row>
    <row r="33" spans="1:13" x14ac:dyDescent="0.3">
      <c r="A33" t="s">
        <v>20</v>
      </c>
      <c r="B33" s="3">
        <f t="shared" si="2"/>
        <v>6.5000000000000058E-3</v>
      </c>
      <c r="C33" s="3">
        <f t="shared" si="3"/>
        <v>1.9091883092036802E-2</v>
      </c>
      <c r="D33" s="3">
        <f t="shared" si="0"/>
        <v>0</v>
      </c>
      <c r="E33" s="3">
        <f t="shared" si="3"/>
        <v>2.8284271247461927E-3</v>
      </c>
      <c r="F33" s="3">
        <f t="shared" si="0"/>
        <v>1.6E-2</v>
      </c>
      <c r="G33" s="3">
        <f t="shared" si="4"/>
        <v>1.6970562748477139E-2</v>
      </c>
      <c r="H33" s="3">
        <f t="shared" si="0"/>
        <v>3.0000000000000027E-3</v>
      </c>
      <c r="I33" s="3">
        <f t="shared" si="5"/>
        <v>0</v>
      </c>
      <c r="J33" s="3">
        <f t="shared" si="0"/>
        <v>0</v>
      </c>
      <c r="K33" s="3">
        <f t="shared" si="6"/>
        <v>0</v>
      </c>
      <c r="L33" s="3">
        <f t="shared" si="0"/>
        <v>-1.5000000000000013E-3</v>
      </c>
      <c r="M33" s="3">
        <f t="shared" si="7"/>
        <v>2.1213203435596446E-3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3"/>
  <sheetViews>
    <sheetView workbookViewId="0">
      <selection activeCell="A25" sqref="A25:M33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0.10199999999999999</v>
      </c>
      <c r="C3">
        <v>0.09</v>
      </c>
      <c r="D3">
        <v>8.1000000000000003E-2</v>
      </c>
      <c r="E3">
        <v>9.0999999999999998E-2</v>
      </c>
      <c r="F3">
        <v>0.15</v>
      </c>
      <c r="G3">
        <v>0.124</v>
      </c>
      <c r="H3">
        <v>8.5000000000000006E-2</v>
      </c>
      <c r="I3">
        <v>6.4000000000000001E-2</v>
      </c>
      <c r="J3">
        <v>5.1999999999999998E-2</v>
      </c>
      <c r="K3">
        <v>4.8000000000000001E-2</v>
      </c>
      <c r="L3">
        <v>0.12</v>
      </c>
      <c r="M3">
        <v>9.2999999999999999E-2</v>
      </c>
    </row>
    <row r="4" spans="1:13" x14ac:dyDescent="0.3">
      <c r="A4" t="s">
        <v>14</v>
      </c>
      <c r="B4">
        <v>0.13100000000000001</v>
      </c>
      <c r="C4">
        <v>0.14399999999999999</v>
      </c>
      <c r="D4">
        <v>7.9000000000000001E-2</v>
      </c>
      <c r="E4">
        <v>8.6999999999999994E-2</v>
      </c>
      <c r="F4">
        <v>0.15</v>
      </c>
      <c r="G4">
        <v>0.13200000000000001</v>
      </c>
      <c r="H4">
        <v>9.7000000000000003E-2</v>
      </c>
      <c r="I4">
        <v>9.5000000000000001E-2</v>
      </c>
      <c r="J4">
        <v>6.0999999999999999E-2</v>
      </c>
      <c r="K4">
        <v>5.5E-2</v>
      </c>
      <c r="L4">
        <v>9.2999999999999999E-2</v>
      </c>
      <c r="M4">
        <v>0.111</v>
      </c>
    </row>
    <row r="5" spans="1:13" x14ac:dyDescent="0.3">
      <c r="A5" t="s">
        <v>15</v>
      </c>
      <c r="B5">
        <v>0.14299999999999999</v>
      </c>
      <c r="C5">
        <v>0.151</v>
      </c>
      <c r="D5">
        <v>8.5000000000000006E-2</v>
      </c>
      <c r="E5">
        <v>7.9000000000000001E-2</v>
      </c>
      <c r="F5">
        <v>0.106</v>
      </c>
      <c r="G5">
        <v>0.11</v>
      </c>
      <c r="H5">
        <v>0.08</v>
      </c>
      <c r="I5">
        <v>6.2E-2</v>
      </c>
      <c r="J5">
        <v>9.4E-2</v>
      </c>
      <c r="K5">
        <v>0.11799999999999999</v>
      </c>
      <c r="L5">
        <v>0.114</v>
      </c>
      <c r="M5">
        <v>0.107</v>
      </c>
    </row>
    <row r="6" spans="1:13" x14ac:dyDescent="0.3">
      <c r="A6" t="s">
        <v>16</v>
      </c>
      <c r="B6">
        <v>0.17799999999999999</v>
      </c>
      <c r="C6">
        <v>0.19500000000000001</v>
      </c>
      <c r="D6">
        <v>8.3000000000000004E-2</v>
      </c>
      <c r="E6">
        <v>9.0999999999999998E-2</v>
      </c>
      <c r="F6">
        <v>0.123</v>
      </c>
      <c r="G6">
        <v>0.215</v>
      </c>
      <c r="H6">
        <v>7.0000000000000007E-2</v>
      </c>
      <c r="I6">
        <v>0.111</v>
      </c>
      <c r="J6">
        <v>8.4000000000000005E-2</v>
      </c>
      <c r="K6">
        <v>8.4000000000000005E-2</v>
      </c>
      <c r="L6">
        <v>0.10100000000000001</v>
      </c>
      <c r="M6">
        <v>9.8000000000000004E-2</v>
      </c>
    </row>
    <row r="7" spans="1:13" x14ac:dyDescent="0.3">
      <c r="A7" t="s">
        <v>17</v>
      </c>
      <c r="B7">
        <v>0.13500000000000001</v>
      </c>
      <c r="C7">
        <v>0.151</v>
      </c>
      <c r="D7">
        <v>8.2000000000000003E-2</v>
      </c>
      <c r="E7">
        <v>9.5000000000000001E-2</v>
      </c>
      <c r="F7">
        <v>0.125</v>
      </c>
      <c r="G7">
        <v>0.11700000000000001</v>
      </c>
      <c r="H7">
        <v>0.107</v>
      </c>
      <c r="I7">
        <v>7.6999999999999999E-2</v>
      </c>
      <c r="J7">
        <v>6.9000000000000006E-2</v>
      </c>
      <c r="K7">
        <v>7.0000000000000007E-2</v>
      </c>
      <c r="L7">
        <v>0.63</v>
      </c>
      <c r="M7">
        <v>9.6000000000000002E-2</v>
      </c>
    </row>
    <row r="8" spans="1:13" x14ac:dyDescent="0.3">
      <c r="A8" t="s">
        <v>18</v>
      </c>
      <c r="B8">
        <v>0.122</v>
      </c>
      <c r="C8">
        <v>9.4E-2</v>
      </c>
      <c r="D8">
        <v>7.4999999999999997E-2</v>
      </c>
      <c r="E8">
        <v>7.9000000000000001E-2</v>
      </c>
      <c r="F8">
        <v>0.105</v>
      </c>
      <c r="G8">
        <v>8.3000000000000004E-2</v>
      </c>
      <c r="H8">
        <v>0.08</v>
      </c>
      <c r="I8">
        <v>5.6000000000000001E-2</v>
      </c>
      <c r="J8">
        <v>4.9000000000000002E-2</v>
      </c>
      <c r="K8">
        <v>6.2E-2</v>
      </c>
      <c r="L8">
        <v>0.36</v>
      </c>
      <c r="M8">
        <v>9.7000000000000003E-2</v>
      </c>
    </row>
    <row r="9" spans="1:13" x14ac:dyDescent="0.3">
      <c r="A9" t="s">
        <v>19</v>
      </c>
      <c r="B9">
        <v>0.155</v>
      </c>
      <c r="C9">
        <v>0.17</v>
      </c>
      <c r="D9">
        <v>0.106</v>
      </c>
      <c r="E9">
        <v>0.108</v>
      </c>
      <c r="F9">
        <v>0.12</v>
      </c>
      <c r="G9">
        <v>0.108</v>
      </c>
      <c r="H9">
        <v>7.0000000000000007E-2</v>
      </c>
      <c r="I9">
        <v>7.4999999999999997E-2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3">
      <c r="A10" t="s">
        <v>20</v>
      </c>
      <c r="B10">
        <v>0.21299999999999999</v>
      </c>
      <c r="C10">
        <v>0.22600000000000001</v>
      </c>
      <c r="D10">
        <v>0.10299999999999999</v>
      </c>
      <c r="E10">
        <v>0.11600000000000001</v>
      </c>
      <c r="F10">
        <v>0.25600000000000001</v>
      </c>
      <c r="G10">
        <v>0.16300000000000001</v>
      </c>
      <c r="H10">
        <v>0.1</v>
      </c>
      <c r="I10">
        <v>9.4E-2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3.9999999999999897E-3</v>
      </c>
      <c r="C15" s="3">
        <f xml:space="preserve"> C3 - '+0.0 seg'!$C$3</f>
        <v>4.9999999999999906E-3</v>
      </c>
      <c r="D15" s="3">
        <f xml:space="preserve"> D3 - '+0.0 seg'!$D$3</f>
        <v>8.0000000000000071E-3</v>
      </c>
      <c r="E15" s="3">
        <f xml:space="preserve"> E3 - '+0.0 seg'!$E$3</f>
        <v>4.0000000000000036E-3</v>
      </c>
      <c r="F15" s="3">
        <f xml:space="preserve"> F3 - '+0.0 seg'!$F$3</f>
        <v>3.0000000000000027E-3</v>
      </c>
      <c r="G15" s="3">
        <f xml:space="preserve"> G3 - '+0.0 seg'!$G$3</f>
        <v>8.9999999999999941E-3</v>
      </c>
      <c r="H15" s="3">
        <f xml:space="preserve"> H3 - '+0.0 seg'!$H$3</f>
        <v>2.0000000000000018E-3</v>
      </c>
      <c r="I15" s="3">
        <f xml:space="preserve"> I3 - '+0.0 seg'!$I$3</f>
        <v>3.0000000000000027E-3</v>
      </c>
      <c r="J15" s="3">
        <f xml:space="preserve"> J3 - '+0.0 seg'!$J$3</f>
        <v>1.0000000000000009E-3</v>
      </c>
      <c r="K15" s="3">
        <f xml:space="preserve"> K3 - '+0.0 seg'!$K$3</f>
        <v>-3.9999999999999966E-3</v>
      </c>
      <c r="L15" s="3">
        <f xml:space="preserve"> L3 - '+0.0 seg'!$L$3</f>
        <v>0</v>
      </c>
      <c r="M15" s="3">
        <f xml:space="preserve"> M3 - '+0.0 seg'!$M$3</f>
        <v>1.0000000000000009E-3</v>
      </c>
    </row>
    <row r="16" spans="1:13" x14ac:dyDescent="0.3">
      <c r="A16" t="s">
        <v>14</v>
      </c>
      <c r="B16" s="3">
        <f xml:space="preserve"> B4 - '+0.0 seg'!$B$4</f>
        <v>3.0000000000000027E-3</v>
      </c>
      <c r="C16" s="3">
        <f xml:space="preserve"> C4 - '+0.0 seg'!$C$4</f>
        <v>3.9999999999999758E-3</v>
      </c>
      <c r="D16" s="3">
        <f xml:space="preserve"> D4 - '+0.0 seg'!$D$4</f>
        <v>3.0000000000000027E-3</v>
      </c>
      <c r="E16" s="3">
        <f xml:space="preserve"> E4 - '+0.0 seg'!$E$4</f>
        <v>2.9999999999999888E-3</v>
      </c>
      <c r="F16" s="3">
        <f xml:space="preserve"> F4 - '+0.0 seg'!$F$4</f>
        <v>4.0000000000000036E-3</v>
      </c>
      <c r="G16" s="3">
        <f xml:space="preserve"> G4 - '+0.0 seg'!$G$4</f>
        <v>5.0000000000000044E-3</v>
      </c>
      <c r="H16" s="3">
        <f xml:space="preserve"> H4 - '+0.0 seg'!$H$4</f>
        <v>6.0000000000000053E-3</v>
      </c>
      <c r="I16" s="3">
        <f xml:space="preserve"> I4 - '+0.0 seg'!$I$4</f>
        <v>3.0000000000000027E-3</v>
      </c>
      <c r="J16" s="3">
        <f xml:space="preserve"> J4 - '+0.0 seg'!$J$4</f>
        <v>-1.0000000000000009E-3</v>
      </c>
      <c r="K16" s="3">
        <f xml:space="preserve"> K4 - '+0.0 seg'!$K$4</f>
        <v>3.0000000000000027E-3</v>
      </c>
      <c r="L16" s="3">
        <f xml:space="preserve"> L4 - '+0.0 seg'!$L$4</f>
        <v>-1.0000000000000009E-3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2.0000000000000018E-3</v>
      </c>
      <c r="C17" s="3">
        <f xml:space="preserve"> C5 - '+0.0 seg'!$C$5</f>
        <v>9.000000000000008E-3</v>
      </c>
      <c r="D17" s="3">
        <f xml:space="preserve"> D5 - '+0.0 seg'!$D$5</f>
        <v>5.0000000000000044E-3</v>
      </c>
      <c r="E17" s="3">
        <f xml:space="preserve"> E5 - '+0.0 seg'!$E$5</f>
        <v>-1.0000000000000009E-3</v>
      </c>
      <c r="F17" s="3">
        <f xml:space="preserve"> F5 - '+0.0 seg'!$F$5</f>
        <v>4.9999999999999906E-3</v>
      </c>
      <c r="G17" s="3">
        <f xml:space="preserve"> G5 - '+0.0 seg'!$G$5</f>
        <v>-6.0000000000000053E-3</v>
      </c>
      <c r="H17" s="3">
        <f xml:space="preserve"> H5 - '+0.0 seg'!$H$5</f>
        <v>5.0000000000000044E-3</v>
      </c>
      <c r="I17" s="3">
        <f xml:space="preserve"> I5 - '+0.0 seg'!$I$5</f>
        <v>-7.0000000000000062E-3</v>
      </c>
      <c r="J17" s="3">
        <f xml:space="preserve"> J5 - '+0.0 seg'!$J$5</f>
        <v>0</v>
      </c>
      <c r="K17" s="3">
        <f xml:space="preserve"> K5 - '+0.0 seg'!$K$5</f>
        <v>0</v>
      </c>
      <c r="L17" s="3">
        <f xml:space="preserve"> L5 - '+0.0 seg'!$L$5</f>
        <v>0</v>
      </c>
      <c r="M17" s="3">
        <f xml:space="preserve"> M5 - '+0.0 seg'!$M$5</f>
        <v>0</v>
      </c>
    </row>
    <row r="18" spans="1:13" x14ac:dyDescent="0.3">
      <c r="A18" t="s">
        <v>16</v>
      </c>
      <c r="B18" s="3">
        <f xml:space="preserve"> B6 - '+0.0 seg'!$B$6</f>
        <v>6.9999999999999785E-3</v>
      </c>
      <c r="C18" s="3">
        <f xml:space="preserve"> C6 - '+0.0 seg'!$C$6</f>
        <v>1.100000000000001E-2</v>
      </c>
      <c r="D18" s="3">
        <f xml:space="preserve"> D6 - '+0.0 seg'!$D$6</f>
        <v>1.0000000000000009E-3</v>
      </c>
      <c r="E18" s="3">
        <f xml:space="preserve"> E6 - '+0.0 seg'!$E$6</f>
        <v>0</v>
      </c>
      <c r="F18" s="3">
        <f xml:space="preserve"> F6 - '+0.0 seg'!$F$6</f>
        <v>5.9999999999999915E-3</v>
      </c>
      <c r="G18" s="3">
        <f xml:space="preserve"> G6 - '+0.0 seg'!$G$6</f>
        <v>1.5999999999999986E-2</v>
      </c>
      <c r="H18" s="3">
        <f xml:space="preserve"> H6 - '+0.0 seg'!$H$6</f>
        <v>2.0000000000000018E-3</v>
      </c>
      <c r="I18" s="3">
        <f xml:space="preserve"> I6 - '+0.0 seg'!$I$6</f>
        <v>2.0000000000000018E-3</v>
      </c>
      <c r="J18" s="3">
        <f xml:space="preserve"> J6 - '+0.0 seg'!$J$6</f>
        <v>1.0000000000000009E-3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1.0000000000000009E-3</v>
      </c>
    </row>
    <row r="19" spans="1:13" x14ac:dyDescent="0.3">
      <c r="A19" t="s">
        <v>17</v>
      </c>
      <c r="B19" s="3">
        <f xml:space="preserve"> B7 - '+0.0 seg'!$B$7</f>
        <v>1.0000000000000009E-3</v>
      </c>
      <c r="C19" s="3">
        <f xml:space="preserve"> C7 - '+0.0 seg'!$C$7</f>
        <v>0</v>
      </c>
      <c r="D19" s="3">
        <f xml:space="preserve"> D7 - '+0.0 seg'!$D$7</f>
        <v>2.0000000000000018E-3</v>
      </c>
      <c r="E19" s="3">
        <f xml:space="preserve"> E7 - '+0.0 seg'!$E$7</f>
        <v>7.0000000000000062E-3</v>
      </c>
      <c r="F19" s="3">
        <f xml:space="preserve"> F7 - '+0.0 seg'!$F$7</f>
        <v>1.2999999999999998E-2</v>
      </c>
      <c r="G19" s="3">
        <f xml:space="preserve"> G7 - '+0.0 seg'!$G$7</f>
        <v>1.4000000000000012E-2</v>
      </c>
      <c r="H19" s="3">
        <f xml:space="preserve"> H7 - '+0.0 seg'!$H$7</f>
        <v>1.2999999999999998E-2</v>
      </c>
      <c r="I19" s="3">
        <f xml:space="preserve"> I7 - '+0.0 seg'!$I$7</f>
        <v>-7.0000000000000062E-3</v>
      </c>
      <c r="J19" s="3">
        <f xml:space="preserve"> J7 - '+0.0 seg'!$J$7</f>
        <v>0</v>
      </c>
      <c r="K19" s="3">
        <f xml:space="preserve"> K7 - '+0.0 seg'!$K$7</f>
        <v>1.0000000000000009E-3</v>
      </c>
      <c r="L19" s="3">
        <f xml:space="preserve"> L7 - '+0.0 seg'!$L$7</f>
        <v>-1.3000000000000012E-2</v>
      </c>
      <c r="M19" s="3">
        <f xml:space="preserve"> M7 - '+0.0 seg'!$M$7</f>
        <v>-1.0000000000000009E-3</v>
      </c>
    </row>
    <row r="20" spans="1:13" x14ac:dyDescent="0.3">
      <c r="A20" t="s">
        <v>18</v>
      </c>
      <c r="B20" s="3">
        <f xml:space="preserve"> B8 - '+0.0 seg'!$B$8</f>
        <v>5.9999999999999915E-3</v>
      </c>
      <c r="C20" s="3">
        <f xml:space="preserve"> C8 - '+0.0 seg'!$C$8</f>
        <v>3.0000000000000027E-3</v>
      </c>
      <c r="D20" s="3">
        <f xml:space="preserve"> D8 - '+0.0 seg'!$D$8</f>
        <v>-4.0000000000000036E-3</v>
      </c>
      <c r="E20" s="3">
        <f xml:space="preserve"> E8 - '+0.0 seg'!$E$8</f>
        <v>4.0000000000000036E-3</v>
      </c>
      <c r="F20" s="3">
        <f xml:space="preserve"> F8 - '+0.0 seg'!$F$8</f>
        <v>8.9999999999999941E-3</v>
      </c>
      <c r="G20" s="3">
        <f xml:space="preserve"> G8 - '+0.0 seg'!$G$8</f>
        <v>4.0000000000000036E-3</v>
      </c>
      <c r="H20" s="3">
        <f xml:space="preserve"> H8 - '+0.0 seg'!$H$8</f>
        <v>4.0000000000000036E-3</v>
      </c>
      <c r="I20" s="3">
        <f xml:space="preserve"> I8 - '+0.0 seg'!$I$8</f>
        <v>-2.9999999999999957E-3</v>
      </c>
      <c r="J20" s="3">
        <f xml:space="preserve"> J8 - '+0.0 seg'!$J$8</f>
        <v>-1.9999999999999948E-3</v>
      </c>
      <c r="K20" s="3">
        <f xml:space="preserve"> K8 - '+0.0 seg'!$K$8</f>
        <v>0</v>
      </c>
      <c r="L20" s="3">
        <f xml:space="preserve"> L8 - '+0.0 seg'!$L$8</f>
        <v>-9.000000000000008E-3</v>
      </c>
      <c r="M20" s="3">
        <f xml:space="preserve"> M8 - '+0.0 seg'!$M$8</f>
        <v>0</v>
      </c>
    </row>
    <row r="21" spans="1:13" x14ac:dyDescent="0.3">
      <c r="A21" t="s">
        <v>19</v>
      </c>
      <c r="B21" s="3">
        <f xml:space="preserve"> B9 - '+0.0 seg'!$B$9</f>
        <v>4.0000000000000036E-3</v>
      </c>
      <c r="C21" s="3">
        <f xml:space="preserve"> C9 - '+0.0 seg'!$C$9</f>
        <v>8.0000000000000071E-3</v>
      </c>
      <c r="D21" s="3">
        <f xml:space="preserve"> D9 - '+0.0 seg'!$D$9</f>
        <v>5.9999999999999915E-3</v>
      </c>
      <c r="E21" s="3">
        <f xml:space="preserve"> E9 - '+0.0 seg'!$E$9</f>
        <v>3.0000000000000027E-3</v>
      </c>
      <c r="F21" s="3">
        <f xml:space="preserve"> F9 - '+0.0 seg'!$F$9</f>
        <v>3.9999999999999897E-3</v>
      </c>
      <c r="G21" s="3">
        <f xml:space="preserve"> G9 - '+0.0 seg'!$G$9</f>
        <v>9.999999999999995E-3</v>
      </c>
      <c r="H21" s="3">
        <f xml:space="preserve"> H9 - '+0.0 seg'!$H$9</f>
        <v>0</v>
      </c>
      <c r="I21" s="3">
        <f xml:space="preserve"> I9 - '+0.0 seg'!$I$9</f>
        <v>1.0000000000000009E-3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</row>
    <row r="22" spans="1:13" x14ac:dyDescent="0.3">
      <c r="A22" t="s">
        <v>20</v>
      </c>
      <c r="B22" s="3">
        <f xml:space="preserve"> B10 - '+0.0 seg'!$B$10</f>
        <v>-6.0000000000000053E-3</v>
      </c>
      <c r="C22" s="3">
        <f xml:space="preserve"> C10 - '+0.0 seg'!$C$10</f>
        <v>2.1000000000000019E-2</v>
      </c>
      <c r="D22" s="3">
        <f xml:space="preserve"> D10 - '+0.0 seg'!$D$10</f>
        <v>-2.0000000000000018E-3</v>
      </c>
      <c r="E22" s="3">
        <f xml:space="preserve"> E10 - '+0.0 seg'!$E$10</f>
        <v>4.0000000000000036E-3</v>
      </c>
      <c r="F22" s="3">
        <f xml:space="preserve"> F10 - '+0.0 seg'!$F$10</f>
        <v>0.03</v>
      </c>
      <c r="G22" s="3">
        <f xml:space="preserve"> G10 - '+0.0 seg'!$G$10</f>
        <v>4.0000000000000036E-3</v>
      </c>
      <c r="H22" s="3">
        <f xml:space="preserve"> H10 - '+0.0 seg'!$H$10</f>
        <v>3.0000000000000027E-3</v>
      </c>
      <c r="I22" s="3">
        <f xml:space="preserve"> I10 - '+0.0 seg'!$I$10</f>
        <v>2.0000000000000018E-3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-2.0000000000000018E-3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4.4999999999999901E-3</v>
      </c>
      <c r="C26" s="3">
        <f>STDEV(B15:C15)</f>
        <v>7.0710678118654816E-4</v>
      </c>
      <c r="D26" s="3">
        <f t="shared" ref="D26:L33" si="0">AVERAGE(D15:E15)</f>
        <v>6.0000000000000053E-3</v>
      </c>
      <c r="E26" s="3">
        <f>STDEV(D15:E15)</f>
        <v>2.8284271247461957E-3</v>
      </c>
      <c r="F26" s="3">
        <f t="shared" si="0"/>
        <v>5.9999999999999984E-3</v>
      </c>
      <c r="G26" s="3">
        <f>STDEV(F15:G15)</f>
        <v>4.2426406871192788E-3</v>
      </c>
      <c r="H26" s="3">
        <f t="shared" si="0"/>
        <v>2.5000000000000022E-3</v>
      </c>
      <c r="I26" s="3">
        <f>STDEV(H15:I15)</f>
        <v>7.0710678118654816E-4</v>
      </c>
      <c r="J26" s="3">
        <f t="shared" si="0"/>
        <v>-1.4999999999999979E-3</v>
      </c>
      <c r="K26" s="3">
        <f>STDEV(J15:K15)</f>
        <v>3.5355339059327355E-3</v>
      </c>
      <c r="L26" s="3">
        <f t="shared" ref="L26:M26" si="1">AVERAGE(L15:M15)</f>
        <v>5.0000000000000044E-4</v>
      </c>
      <c r="M26" s="3">
        <f>STDEV(L15:M15)</f>
        <v>7.0710678118654816E-4</v>
      </c>
    </row>
    <row r="27" spans="1:13" x14ac:dyDescent="0.3">
      <c r="A27" t="s">
        <v>14</v>
      </c>
      <c r="B27" s="3">
        <f t="shared" ref="B27:B33" si="2">AVERAGE(B16:C16)</f>
        <v>3.4999999999999892E-3</v>
      </c>
      <c r="C27" s="3">
        <f t="shared" ref="C27:E33" si="3">STDEV(B16:C16)</f>
        <v>7.0710678118652854E-4</v>
      </c>
      <c r="D27" s="3">
        <f t="shared" si="0"/>
        <v>2.9999999999999957E-3</v>
      </c>
      <c r="E27" s="3">
        <f t="shared" si="3"/>
        <v>9.8130778667735948E-18</v>
      </c>
      <c r="F27" s="3">
        <f t="shared" si="0"/>
        <v>4.500000000000004E-3</v>
      </c>
      <c r="G27" s="3">
        <f t="shared" ref="G27:G33" si="4">STDEV(F16:G16)</f>
        <v>7.0710678118654816E-4</v>
      </c>
      <c r="H27" s="3">
        <f t="shared" si="0"/>
        <v>4.500000000000004E-3</v>
      </c>
      <c r="I27" s="3">
        <f t="shared" ref="I27:I33" si="5">STDEV(H16:I16)</f>
        <v>2.1213203435596446E-3</v>
      </c>
      <c r="J27" s="3">
        <f t="shared" si="0"/>
        <v>1.0000000000000009E-3</v>
      </c>
      <c r="K27" s="3">
        <f t="shared" ref="K27:K33" si="6">STDEV(J16:K16)</f>
        <v>2.8284271247461927E-3</v>
      </c>
      <c r="L27" s="3">
        <f t="shared" si="0"/>
        <v>-5.0000000000000044E-4</v>
      </c>
      <c r="M27" s="3">
        <f t="shared" ref="M27:M33" si="7">STDEV(L16:M16)</f>
        <v>7.0710678118654816E-4</v>
      </c>
    </row>
    <row r="28" spans="1:13" x14ac:dyDescent="0.3">
      <c r="A28" t="s">
        <v>15</v>
      </c>
      <c r="B28" s="3">
        <f t="shared" si="2"/>
        <v>5.5000000000000049E-3</v>
      </c>
      <c r="C28" s="3">
        <f t="shared" si="3"/>
        <v>4.949747468305836E-3</v>
      </c>
      <c r="D28" s="3">
        <f t="shared" si="0"/>
        <v>2.0000000000000018E-3</v>
      </c>
      <c r="E28" s="3">
        <f t="shared" si="3"/>
        <v>4.2426406871192892E-3</v>
      </c>
      <c r="F28" s="3">
        <f t="shared" si="0"/>
        <v>-5.0000000000000738E-4</v>
      </c>
      <c r="G28" s="3">
        <f t="shared" si="4"/>
        <v>7.7781745930520195E-3</v>
      </c>
      <c r="H28" s="3">
        <f t="shared" si="0"/>
        <v>-1.0000000000000009E-3</v>
      </c>
      <c r="I28" s="3">
        <f t="shared" si="5"/>
        <v>8.4852813742385784E-3</v>
      </c>
      <c r="J28" s="3">
        <f t="shared" si="0"/>
        <v>0</v>
      </c>
      <c r="K28" s="3">
        <f t="shared" si="6"/>
        <v>0</v>
      </c>
      <c r="L28" s="3">
        <f t="shared" si="0"/>
        <v>0</v>
      </c>
      <c r="M28" s="3">
        <f t="shared" si="7"/>
        <v>0</v>
      </c>
    </row>
    <row r="29" spans="1:13" x14ac:dyDescent="0.3">
      <c r="A29" t="s">
        <v>16</v>
      </c>
      <c r="B29" s="3">
        <f t="shared" si="2"/>
        <v>8.9999999999999941E-3</v>
      </c>
      <c r="C29" s="3">
        <f t="shared" si="3"/>
        <v>2.8284271247462122E-3</v>
      </c>
      <c r="D29" s="3">
        <f t="shared" si="0"/>
        <v>5.0000000000000044E-4</v>
      </c>
      <c r="E29" s="3">
        <f t="shared" si="3"/>
        <v>7.0710678118654816E-4</v>
      </c>
      <c r="F29" s="3">
        <f t="shared" si="0"/>
        <v>1.0999999999999989E-2</v>
      </c>
      <c r="G29" s="3">
        <f t="shared" si="4"/>
        <v>7.071067811865471E-3</v>
      </c>
      <c r="H29" s="3">
        <f t="shared" si="0"/>
        <v>2.0000000000000018E-3</v>
      </c>
      <c r="I29" s="3">
        <f t="shared" si="5"/>
        <v>0</v>
      </c>
      <c r="J29" s="3">
        <f t="shared" si="0"/>
        <v>5.0000000000000044E-4</v>
      </c>
      <c r="K29" s="3">
        <f t="shared" si="6"/>
        <v>7.0710678118654816E-4</v>
      </c>
      <c r="L29" s="3">
        <f t="shared" si="0"/>
        <v>5.0000000000000044E-4</v>
      </c>
      <c r="M29" s="3">
        <f t="shared" si="7"/>
        <v>7.0710678118654816E-4</v>
      </c>
    </row>
    <row r="30" spans="1:13" x14ac:dyDescent="0.3">
      <c r="A30" t="s">
        <v>17</v>
      </c>
      <c r="B30" s="3">
        <f t="shared" si="2"/>
        <v>5.0000000000000044E-4</v>
      </c>
      <c r="C30" s="3">
        <f t="shared" si="3"/>
        <v>7.0710678118654816E-4</v>
      </c>
      <c r="D30" s="3">
        <f t="shared" si="0"/>
        <v>4.500000000000004E-3</v>
      </c>
      <c r="E30" s="3">
        <f t="shared" si="3"/>
        <v>3.5355339059327411E-3</v>
      </c>
      <c r="F30" s="3">
        <f t="shared" si="0"/>
        <v>1.3500000000000005E-2</v>
      </c>
      <c r="G30" s="3">
        <f t="shared" si="4"/>
        <v>7.0710678118655803E-4</v>
      </c>
      <c r="H30" s="3">
        <f t="shared" si="0"/>
        <v>2.9999999999999957E-3</v>
      </c>
      <c r="I30" s="3">
        <f t="shared" si="5"/>
        <v>1.4142135623730952E-2</v>
      </c>
      <c r="J30" s="3">
        <f t="shared" si="0"/>
        <v>5.0000000000000044E-4</v>
      </c>
      <c r="K30" s="3">
        <f t="shared" si="6"/>
        <v>7.0710678118654816E-4</v>
      </c>
      <c r="L30" s="3">
        <f t="shared" si="0"/>
        <v>-7.0000000000000062E-3</v>
      </c>
      <c r="M30" s="3">
        <f t="shared" si="7"/>
        <v>8.4852813742385784E-3</v>
      </c>
    </row>
    <row r="31" spans="1:13" x14ac:dyDescent="0.3">
      <c r="A31" t="s">
        <v>18</v>
      </c>
      <c r="B31" s="3">
        <f t="shared" si="2"/>
        <v>4.4999999999999971E-3</v>
      </c>
      <c r="C31" s="3">
        <f t="shared" si="3"/>
        <v>2.1213203435596346E-3</v>
      </c>
      <c r="D31" s="3">
        <f t="shared" si="0"/>
        <v>0</v>
      </c>
      <c r="E31" s="3">
        <f t="shared" si="3"/>
        <v>5.6568542494923853E-3</v>
      </c>
      <c r="F31" s="3">
        <f t="shared" si="0"/>
        <v>6.4999999999999988E-3</v>
      </c>
      <c r="G31" s="3">
        <f t="shared" si="4"/>
        <v>3.5355339059327307E-3</v>
      </c>
      <c r="H31" s="3">
        <f t="shared" si="0"/>
        <v>5.0000000000000391E-4</v>
      </c>
      <c r="I31" s="3">
        <f t="shared" si="5"/>
        <v>4.9497474683058325E-3</v>
      </c>
      <c r="J31" s="3">
        <f t="shared" si="0"/>
        <v>-9.9999999999999742E-4</v>
      </c>
      <c r="K31" s="3">
        <f t="shared" si="6"/>
        <v>1.4142135623730913E-3</v>
      </c>
      <c r="L31" s="3">
        <f t="shared" si="0"/>
        <v>-4.500000000000004E-3</v>
      </c>
      <c r="M31" s="3">
        <f t="shared" si="7"/>
        <v>6.3639610306789329E-3</v>
      </c>
    </row>
    <row r="32" spans="1:13" x14ac:dyDescent="0.3">
      <c r="A32" t="s">
        <v>19</v>
      </c>
      <c r="B32" s="3">
        <f t="shared" si="2"/>
        <v>6.0000000000000053E-3</v>
      </c>
      <c r="C32" s="3">
        <f t="shared" si="3"/>
        <v>2.8284271247461957E-3</v>
      </c>
      <c r="D32" s="3">
        <f t="shared" si="0"/>
        <v>4.4999999999999971E-3</v>
      </c>
      <c r="E32" s="3">
        <f t="shared" si="3"/>
        <v>2.1213203435596346E-3</v>
      </c>
      <c r="F32" s="3">
        <f t="shared" si="0"/>
        <v>6.9999999999999923E-3</v>
      </c>
      <c r="G32" s="3">
        <f t="shared" si="4"/>
        <v>4.2426406871192892E-3</v>
      </c>
      <c r="H32" s="3">
        <f t="shared" si="0"/>
        <v>5.0000000000000044E-4</v>
      </c>
      <c r="I32" s="3">
        <f t="shared" si="5"/>
        <v>7.0710678118654816E-4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0</v>
      </c>
      <c r="M32" s="3">
        <f t="shared" si="7"/>
        <v>0</v>
      </c>
    </row>
    <row r="33" spans="1:13" x14ac:dyDescent="0.3">
      <c r="A33" t="s">
        <v>20</v>
      </c>
      <c r="B33" s="3">
        <f t="shared" si="2"/>
        <v>7.5000000000000067E-3</v>
      </c>
      <c r="C33" s="3">
        <f t="shared" si="3"/>
        <v>1.9091883092036802E-2</v>
      </c>
      <c r="D33" s="3">
        <f t="shared" si="0"/>
        <v>1.0000000000000009E-3</v>
      </c>
      <c r="E33" s="3">
        <f t="shared" si="3"/>
        <v>4.2426406871192892E-3</v>
      </c>
      <c r="F33" s="3">
        <f t="shared" si="0"/>
        <v>1.7000000000000001E-2</v>
      </c>
      <c r="G33" s="3">
        <f t="shared" si="4"/>
        <v>1.8384776310850236E-2</v>
      </c>
      <c r="H33" s="3">
        <f t="shared" si="0"/>
        <v>2.5000000000000022E-3</v>
      </c>
      <c r="I33" s="3">
        <f t="shared" si="5"/>
        <v>7.0710678118654816E-4</v>
      </c>
      <c r="J33" s="3">
        <f t="shared" si="0"/>
        <v>0</v>
      </c>
      <c r="K33" s="3">
        <f t="shared" si="6"/>
        <v>0</v>
      </c>
      <c r="L33" s="3">
        <f t="shared" si="0"/>
        <v>-1.0000000000000009E-3</v>
      </c>
      <c r="M33" s="3">
        <f t="shared" si="7"/>
        <v>1.4142135623730963E-3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3"/>
  <sheetViews>
    <sheetView workbookViewId="0">
      <selection activeCell="A25" sqref="A25:M33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0.10100000000000001</v>
      </c>
      <c r="C3">
        <v>0.09</v>
      </c>
      <c r="D3">
        <v>8.2000000000000003E-2</v>
      </c>
      <c r="E3">
        <v>8.8999999999999996E-2</v>
      </c>
      <c r="F3">
        <v>0.152</v>
      </c>
      <c r="G3">
        <v>0.125</v>
      </c>
      <c r="H3">
        <v>8.5000000000000006E-2</v>
      </c>
      <c r="I3">
        <v>6.5000000000000002E-2</v>
      </c>
      <c r="J3">
        <v>5.0999999999999997E-2</v>
      </c>
      <c r="K3">
        <v>4.8000000000000001E-2</v>
      </c>
      <c r="L3">
        <v>0.12</v>
      </c>
      <c r="M3">
        <v>9.2999999999999999E-2</v>
      </c>
    </row>
    <row r="4" spans="1:13" x14ac:dyDescent="0.3">
      <c r="A4" t="s">
        <v>14</v>
      </c>
      <c r="B4">
        <v>0.13</v>
      </c>
      <c r="C4">
        <v>0.14299999999999999</v>
      </c>
      <c r="D4">
        <v>8.3000000000000004E-2</v>
      </c>
      <c r="E4">
        <v>8.7999999999999995E-2</v>
      </c>
      <c r="F4">
        <v>0.151</v>
      </c>
      <c r="G4">
        <v>0.13300000000000001</v>
      </c>
      <c r="H4">
        <v>9.7000000000000003E-2</v>
      </c>
      <c r="I4">
        <v>9.5000000000000001E-2</v>
      </c>
      <c r="J4">
        <v>6.0999999999999999E-2</v>
      </c>
      <c r="K4">
        <v>5.3999999999999999E-2</v>
      </c>
      <c r="L4">
        <v>9.2999999999999999E-2</v>
      </c>
      <c r="M4">
        <v>0.111</v>
      </c>
    </row>
    <row r="5" spans="1:13" x14ac:dyDescent="0.3">
      <c r="A5" t="s">
        <v>15</v>
      </c>
      <c r="B5">
        <v>0.14299999999999999</v>
      </c>
      <c r="C5">
        <v>0.152</v>
      </c>
      <c r="D5">
        <v>8.5000000000000006E-2</v>
      </c>
      <c r="E5">
        <v>0.08</v>
      </c>
      <c r="F5">
        <v>0.106</v>
      </c>
      <c r="G5">
        <v>0.111</v>
      </c>
      <c r="H5">
        <v>8.1000000000000003E-2</v>
      </c>
      <c r="I5">
        <v>6.2E-2</v>
      </c>
      <c r="J5">
        <v>9.4E-2</v>
      </c>
      <c r="K5">
        <v>0.11799999999999999</v>
      </c>
      <c r="L5">
        <v>0.114</v>
      </c>
      <c r="M5">
        <v>0.108</v>
      </c>
    </row>
    <row r="6" spans="1:13" x14ac:dyDescent="0.3">
      <c r="A6" t="s">
        <v>16</v>
      </c>
      <c r="B6">
        <v>0.17899999999999999</v>
      </c>
      <c r="C6">
        <v>0.19400000000000001</v>
      </c>
      <c r="D6">
        <v>8.4000000000000005E-2</v>
      </c>
      <c r="E6">
        <v>9.1999999999999998E-2</v>
      </c>
      <c r="F6">
        <v>0.124</v>
      </c>
      <c r="G6">
        <v>0.216</v>
      </c>
      <c r="H6">
        <v>7.0999999999999994E-2</v>
      </c>
      <c r="I6">
        <v>0.111</v>
      </c>
      <c r="J6">
        <v>8.4000000000000005E-2</v>
      </c>
      <c r="K6">
        <v>8.4000000000000005E-2</v>
      </c>
      <c r="L6">
        <v>0.10100000000000001</v>
      </c>
      <c r="M6">
        <v>9.8000000000000004E-2</v>
      </c>
    </row>
    <row r="7" spans="1:13" x14ac:dyDescent="0.3">
      <c r="A7" t="s">
        <v>17</v>
      </c>
      <c r="B7">
        <v>0.13600000000000001</v>
      </c>
      <c r="C7">
        <v>0.15</v>
      </c>
      <c r="D7">
        <v>8.2000000000000003E-2</v>
      </c>
      <c r="E7">
        <v>9.6000000000000002E-2</v>
      </c>
      <c r="F7">
        <v>0.123</v>
      </c>
      <c r="G7">
        <v>0.11799999999999999</v>
      </c>
      <c r="H7">
        <v>0.107</v>
      </c>
      <c r="I7">
        <v>7.8E-2</v>
      </c>
      <c r="J7">
        <v>7.0000000000000007E-2</v>
      </c>
      <c r="K7">
        <v>7.0000000000000007E-2</v>
      </c>
      <c r="L7">
        <v>0.66800000000000004</v>
      </c>
      <c r="M7">
        <v>9.6000000000000002E-2</v>
      </c>
    </row>
    <row r="8" spans="1:13" x14ac:dyDescent="0.3">
      <c r="A8" t="s">
        <v>18</v>
      </c>
      <c r="B8">
        <v>0.122</v>
      </c>
      <c r="C8">
        <v>9.5000000000000001E-2</v>
      </c>
      <c r="D8">
        <v>7.5999999999999998E-2</v>
      </c>
      <c r="E8">
        <v>0.08</v>
      </c>
      <c r="F8">
        <v>0.105</v>
      </c>
      <c r="G8">
        <v>8.3000000000000004E-2</v>
      </c>
      <c r="H8">
        <v>0.08</v>
      </c>
      <c r="I8">
        <v>5.6000000000000001E-2</v>
      </c>
      <c r="J8">
        <v>4.9000000000000002E-2</v>
      </c>
      <c r="K8">
        <v>6.2E-2</v>
      </c>
      <c r="L8">
        <v>0.373</v>
      </c>
      <c r="M8">
        <v>9.7000000000000003E-2</v>
      </c>
    </row>
    <row r="9" spans="1:13" x14ac:dyDescent="0.3">
      <c r="A9" t="s">
        <v>19</v>
      </c>
      <c r="B9">
        <v>0.154</v>
      </c>
      <c r="C9">
        <v>0.17</v>
      </c>
      <c r="D9">
        <v>0.105</v>
      </c>
      <c r="E9">
        <v>0.109</v>
      </c>
      <c r="F9">
        <v>0.12</v>
      </c>
      <c r="G9">
        <v>0.108</v>
      </c>
      <c r="H9">
        <v>7.0000000000000007E-2</v>
      </c>
      <c r="I9">
        <v>7.3999999999999996E-2</v>
      </c>
      <c r="J9">
        <v>0.11600000000000001</v>
      </c>
      <c r="K9">
        <v>0.115</v>
      </c>
      <c r="L9">
        <v>0.104</v>
      </c>
      <c r="M9">
        <v>0.13400000000000001</v>
      </c>
    </row>
    <row r="10" spans="1:13" x14ac:dyDescent="0.3">
      <c r="A10" t="s">
        <v>20</v>
      </c>
      <c r="B10">
        <v>0.222</v>
      </c>
      <c r="C10">
        <v>0.22600000000000001</v>
      </c>
      <c r="D10">
        <v>0.10299999999999999</v>
      </c>
      <c r="E10">
        <v>0.11600000000000001</v>
      </c>
      <c r="F10">
        <v>0.25800000000000001</v>
      </c>
      <c r="G10">
        <v>0.16200000000000001</v>
      </c>
      <c r="H10">
        <v>9.9000000000000005E-2</v>
      </c>
      <c r="I10">
        <v>9.4E-2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3.0000000000000027E-3</v>
      </c>
      <c r="C15" s="3">
        <f xml:space="preserve"> C3 - '+0.0 seg'!$C$3</f>
        <v>4.9999999999999906E-3</v>
      </c>
      <c r="D15" s="3">
        <f xml:space="preserve"> D3 - '+0.0 seg'!$D$3</f>
        <v>9.000000000000008E-3</v>
      </c>
      <c r="E15" s="3">
        <f xml:space="preserve"> E3 - '+0.0 seg'!$E$3</f>
        <v>2.0000000000000018E-3</v>
      </c>
      <c r="F15" s="3">
        <f xml:space="preserve"> F3 - '+0.0 seg'!$F$3</f>
        <v>5.0000000000000044E-3</v>
      </c>
      <c r="G15" s="3">
        <f xml:space="preserve"> G3 - '+0.0 seg'!$G$3</f>
        <v>9.999999999999995E-3</v>
      </c>
      <c r="H15" s="3">
        <f xml:space="preserve"> H3 - '+0.0 seg'!$H$3</f>
        <v>2.0000000000000018E-3</v>
      </c>
      <c r="I15" s="3">
        <f xml:space="preserve"> I3 - '+0.0 seg'!$I$3</f>
        <v>4.0000000000000036E-3</v>
      </c>
      <c r="J15" s="3">
        <f xml:space="preserve"> J3 - '+0.0 seg'!$J$3</f>
        <v>0</v>
      </c>
      <c r="K15" s="3">
        <f xml:space="preserve"> K3 - '+0.0 seg'!$K$3</f>
        <v>-3.9999999999999966E-3</v>
      </c>
      <c r="L15" s="3">
        <f xml:space="preserve"> L3 - '+0.0 seg'!$L$3</f>
        <v>0</v>
      </c>
      <c r="M15" s="3">
        <f xml:space="preserve"> M3 - '+0.0 seg'!$M$3</f>
        <v>1.0000000000000009E-3</v>
      </c>
    </row>
    <row r="16" spans="1:13" x14ac:dyDescent="0.3">
      <c r="A16" t="s">
        <v>14</v>
      </c>
      <c r="B16" s="3">
        <f xml:space="preserve"> B4 - '+0.0 seg'!$B$4</f>
        <v>2.0000000000000018E-3</v>
      </c>
      <c r="C16" s="3">
        <f xml:space="preserve"> C4 - '+0.0 seg'!$C$4</f>
        <v>2.9999999999999749E-3</v>
      </c>
      <c r="D16" s="3">
        <f xml:space="preserve"> D4 - '+0.0 seg'!$D$4</f>
        <v>7.0000000000000062E-3</v>
      </c>
      <c r="E16" s="3">
        <f xml:space="preserve"> E4 - '+0.0 seg'!$E$4</f>
        <v>3.9999999999999897E-3</v>
      </c>
      <c r="F16" s="3">
        <f xml:space="preserve"> F4 - '+0.0 seg'!$F$4</f>
        <v>5.0000000000000044E-3</v>
      </c>
      <c r="G16" s="3">
        <f xml:space="preserve"> G4 - '+0.0 seg'!$G$4</f>
        <v>6.0000000000000053E-3</v>
      </c>
      <c r="H16" s="3">
        <f xml:space="preserve"> H4 - '+0.0 seg'!$H$4</f>
        <v>6.0000000000000053E-3</v>
      </c>
      <c r="I16" s="3">
        <f xml:space="preserve"> I4 - '+0.0 seg'!$I$4</f>
        <v>3.0000000000000027E-3</v>
      </c>
      <c r="J16" s="3">
        <f xml:space="preserve"> J4 - '+0.0 seg'!$J$4</f>
        <v>-1.0000000000000009E-3</v>
      </c>
      <c r="K16" s="3">
        <f xml:space="preserve"> K4 - '+0.0 seg'!$K$4</f>
        <v>2.0000000000000018E-3</v>
      </c>
      <c r="L16" s="3">
        <f xml:space="preserve"> L4 - '+0.0 seg'!$L$4</f>
        <v>-1.0000000000000009E-3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2.0000000000000018E-3</v>
      </c>
      <c r="C17" s="3">
        <f xml:space="preserve"> C5 - '+0.0 seg'!$C$5</f>
        <v>1.0000000000000009E-2</v>
      </c>
      <c r="D17" s="3">
        <f xml:space="preserve"> D5 - '+0.0 seg'!$D$5</f>
        <v>5.0000000000000044E-3</v>
      </c>
      <c r="E17" s="3">
        <f xml:space="preserve"> E5 - '+0.0 seg'!$E$5</f>
        <v>0</v>
      </c>
      <c r="F17" s="3">
        <f xml:space="preserve"> F5 - '+0.0 seg'!$F$5</f>
        <v>4.9999999999999906E-3</v>
      </c>
      <c r="G17" s="3">
        <f xml:space="preserve"> G5 - '+0.0 seg'!$G$5</f>
        <v>-5.0000000000000044E-3</v>
      </c>
      <c r="H17" s="3">
        <f xml:space="preserve"> H5 - '+0.0 seg'!$H$5</f>
        <v>6.0000000000000053E-3</v>
      </c>
      <c r="I17" s="3">
        <f xml:space="preserve"> I5 - '+0.0 seg'!$I$5</f>
        <v>-7.0000000000000062E-3</v>
      </c>
      <c r="J17" s="3">
        <f xml:space="preserve"> J5 - '+0.0 seg'!$J$5</f>
        <v>0</v>
      </c>
      <c r="K17" s="3">
        <f xml:space="preserve"> K5 - '+0.0 seg'!$K$5</f>
        <v>0</v>
      </c>
      <c r="L17" s="3">
        <f xml:space="preserve"> L5 - '+0.0 seg'!$L$5</f>
        <v>0</v>
      </c>
      <c r="M17" s="3">
        <f xml:space="preserve"> M5 - '+0.0 seg'!$M$5</f>
        <v>1.0000000000000009E-3</v>
      </c>
    </row>
    <row r="18" spans="1:13" x14ac:dyDescent="0.3">
      <c r="A18" t="s">
        <v>16</v>
      </c>
      <c r="B18" s="3">
        <f xml:space="preserve"> B6 - '+0.0 seg'!$B$6</f>
        <v>7.9999999999999793E-3</v>
      </c>
      <c r="C18" s="3">
        <f xml:space="preserve"> C6 - '+0.0 seg'!$C$6</f>
        <v>1.0000000000000009E-2</v>
      </c>
      <c r="D18" s="3">
        <f xml:space="preserve"> D6 - '+0.0 seg'!$D$6</f>
        <v>2.0000000000000018E-3</v>
      </c>
      <c r="E18" s="3">
        <f xml:space="preserve"> E6 - '+0.0 seg'!$E$6</f>
        <v>1.0000000000000009E-3</v>
      </c>
      <c r="F18" s="3">
        <f xml:space="preserve"> F6 - '+0.0 seg'!$F$6</f>
        <v>6.9999999999999923E-3</v>
      </c>
      <c r="G18" s="3">
        <f xml:space="preserve"> G6 - '+0.0 seg'!$G$6</f>
        <v>1.6999999999999987E-2</v>
      </c>
      <c r="H18" s="3">
        <f xml:space="preserve"> H6 - '+0.0 seg'!$H$6</f>
        <v>2.9999999999999888E-3</v>
      </c>
      <c r="I18" s="3">
        <f xml:space="preserve"> I6 - '+0.0 seg'!$I$6</f>
        <v>2.0000000000000018E-3</v>
      </c>
      <c r="J18" s="3">
        <f xml:space="preserve"> J6 - '+0.0 seg'!$J$6</f>
        <v>1.0000000000000009E-3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1.0000000000000009E-3</v>
      </c>
    </row>
    <row r="19" spans="1:13" x14ac:dyDescent="0.3">
      <c r="A19" t="s">
        <v>17</v>
      </c>
      <c r="B19" s="3">
        <f xml:space="preserve"> B7 - '+0.0 seg'!$B$7</f>
        <v>2.0000000000000018E-3</v>
      </c>
      <c r="C19" s="3">
        <f xml:space="preserve"> C7 - '+0.0 seg'!$C$7</f>
        <v>-1.0000000000000009E-3</v>
      </c>
      <c r="D19" s="3">
        <f xml:space="preserve"> D7 - '+0.0 seg'!$D$7</f>
        <v>2.0000000000000018E-3</v>
      </c>
      <c r="E19" s="3">
        <f xml:space="preserve"> E7 - '+0.0 seg'!$E$7</f>
        <v>8.0000000000000071E-3</v>
      </c>
      <c r="F19" s="3">
        <f xml:space="preserve"> F7 - '+0.0 seg'!$F$7</f>
        <v>1.0999999999999996E-2</v>
      </c>
      <c r="G19" s="3">
        <f xml:space="preserve"> G7 - '+0.0 seg'!$G$7</f>
        <v>1.4999999999999999E-2</v>
      </c>
      <c r="H19" s="3">
        <f xml:space="preserve"> H7 - '+0.0 seg'!$H$7</f>
        <v>1.2999999999999998E-2</v>
      </c>
      <c r="I19" s="3">
        <f xml:space="preserve"> I7 - '+0.0 seg'!$I$7</f>
        <v>-6.0000000000000053E-3</v>
      </c>
      <c r="J19" s="3">
        <f xml:space="preserve"> J7 - '+0.0 seg'!$J$7</f>
        <v>1.0000000000000009E-3</v>
      </c>
      <c r="K19" s="3">
        <f xml:space="preserve"> K7 - '+0.0 seg'!$K$7</f>
        <v>1.0000000000000009E-3</v>
      </c>
      <c r="L19" s="3">
        <f xml:space="preserve"> L7 - '+0.0 seg'!$L$7</f>
        <v>2.5000000000000022E-2</v>
      </c>
      <c r="M19" s="3">
        <f xml:space="preserve"> M7 - '+0.0 seg'!$M$7</f>
        <v>-1.0000000000000009E-3</v>
      </c>
    </row>
    <row r="20" spans="1:13" x14ac:dyDescent="0.3">
      <c r="A20" t="s">
        <v>18</v>
      </c>
      <c r="B20" s="3">
        <f xml:space="preserve"> B8 - '+0.0 seg'!$B$8</f>
        <v>5.9999999999999915E-3</v>
      </c>
      <c r="C20" s="3">
        <f xml:space="preserve"> C8 - '+0.0 seg'!$C$8</f>
        <v>4.0000000000000036E-3</v>
      </c>
      <c r="D20" s="3">
        <f xml:space="preserve"> D8 - '+0.0 seg'!$D$8</f>
        <v>-3.0000000000000027E-3</v>
      </c>
      <c r="E20" s="3">
        <f xml:space="preserve"> E8 - '+0.0 seg'!$E$8</f>
        <v>5.0000000000000044E-3</v>
      </c>
      <c r="F20" s="3">
        <f xml:space="preserve"> F8 - '+0.0 seg'!$F$8</f>
        <v>8.9999999999999941E-3</v>
      </c>
      <c r="G20" s="3">
        <f xml:space="preserve"> G8 - '+0.0 seg'!$G$8</f>
        <v>4.0000000000000036E-3</v>
      </c>
      <c r="H20" s="3">
        <f xml:space="preserve"> H8 - '+0.0 seg'!$H$8</f>
        <v>4.0000000000000036E-3</v>
      </c>
      <c r="I20" s="3">
        <f xml:space="preserve"> I8 - '+0.0 seg'!$I$8</f>
        <v>-2.9999999999999957E-3</v>
      </c>
      <c r="J20" s="3">
        <f xml:space="preserve"> J8 - '+0.0 seg'!$J$8</f>
        <v>-1.9999999999999948E-3</v>
      </c>
      <c r="K20" s="3">
        <f xml:space="preserve"> K8 - '+0.0 seg'!$K$8</f>
        <v>0</v>
      </c>
      <c r="L20" s="3">
        <f xml:space="preserve"> L8 - '+0.0 seg'!$L$8</f>
        <v>4.0000000000000036E-3</v>
      </c>
      <c r="M20" s="3">
        <f xml:space="preserve"> M8 - '+0.0 seg'!$M$8</f>
        <v>0</v>
      </c>
    </row>
    <row r="21" spans="1:13" x14ac:dyDescent="0.3">
      <c r="A21" t="s">
        <v>19</v>
      </c>
      <c r="B21" s="3">
        <f xml:space="preserve"> B9 - '+0.0 seg'!$B$9</f>
        <v>3.0000000000000027E-3</v>
      </c>
      <c r="C21" s="3">
        <f xml:space="preserve"> C9 - '+0.0 seg'!$C$9</f>
        <v>8.0000000000000071E-3</v>
      </c>
      <c r="D21" s="3">
        <f xml:space="preserve"> D9 - '+0.0 seg'!$D$9</f>
        <v>4.9999999999999906E-3</v>
      </c>
      <c r="E21" s="3">
        <f xml:space="preserve"> E9 - '+0.0 seg'!$E$9</f>
        <v>4.0000000000000036E-3</v>
      </c>
      <c r="F21" s="3">
        <f xml:space="preserve"> F9 - '+0.0 seg'!$F$9</f>
        <v>3.9999999999999897E-3</v>
      </c>
      <c r="G21" s="3">
        <f xml:space="preserve"> G9 - '+0.0 seg'!$G$9</f>
        <v>9.999999999999995E-3</v>
      </c>
      <c r="H21" s="3">
        <f xml:space="preserve"> H9 - '+0.0 seg'!$H$9</f>
        <v>0</v>
      </c>
      <c r="I21" s="3">
        <f xml:space="preserve"> I9 - '+0.0 seg'!$I$9</f>
        <v>0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1.0000000000000009E-3</v>
      </c>
    </row>
    <row r="22" spans="1:13" x14ac:dyDescent="0.3">
      <c r="A22" t="s">
        <v>20</v>
      </c>
      <c r="B22" s="3">
        <f xml:space="preserve"> B10 - '+0.0 seg'!$B$10</f>
        <v>3.0000000000000027E-3</v>
      </c>
      <c r="C22" s="3">
        <f xml:space="preserve"> C10 - '+0.0 seg'!$C$10</f>
        <v>2.1000000000000019E-2</v>
      </c>
      <c r="D22" s="3">
        <f xml:space="preserve"> D10 - '+0.0 seg'!$D$10</f>
        <v>-2.0000000000000018E-3</v>
      </c>
      <c r="E22" s="3">
        <f xml:space="preserve"> E10 - '+0.0 seg'!$E$10</f>
        <v>4.0000000000000036E-3</v>
      </c>
      <c r="F22" s="3">
        <f xml:space="preserve"> F10 - '+0.0 seg'!$F$10</f>
        <v>3.2000000000000001E-2</v>
      </c>
      <c r="G22" s="3">
        <f xml:space="preserve"> G10 - '+0.0 seg'!$G$10</f>
        <v>3.0000000000000027E-3</v>
      </c>
      <c r="H22" s="3">
        <f xml:space="preserve"> H10 - '+0.0 seg'!$H$10</f>
        <v>2.0000000000000018E-3</v>
      </c>
      <c r="I22" s="3">
        <f xml:space="preserve"> I10 - '+0.0 seg'!$I$10</f>
        <v>2.0000000000000018E-3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-2.0000000000000018E-3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3.9999999999999966E-3</v>
      </c>
      <c r="C26" s="3">
        <f>STDEV(B15:C15)</f>
        <v>1.4142135623730866E-3</v>
      </c>
      <c r="D26" s="3">
        <f t="shared" ref="D26:L33" si="0">AVERAGE(D15:E15)</f>
        <v>5.5000000000000049E-3</v>
      </c>
      <c r="E26" s="3">
        <f>STDEV(D15:E15)</f>
        <v>4.949747468305836E-3</v>
      </c>
      <c r="F26" s="3">
        <f t="shared" si="0"/>
        <v>7.4999999999999997E-3</v>
      </c>
      <c r="G26" s="3">
        <f>STDEV(F15:G15)</f>
        <v>3.5355339059327307E-3</v>
      </c>
      <c r="H26" s="3">
        <f t="shared" si="0"/>
        <v>3.0000000000000027E-3</v>
      </c>
      <c r="I26" s="3">
        <f>STDEV(H15:I15)</f>
        <v>1.4142135623730963E-3</v>
      </c>
      <c r="J26" s="3">
        <f t="shared" si="0"/>
        <v>-1.9999999999999983E-3</v>
      </c>
      <c r="K26" s="3">
        <f>STDEV(J15:K15)</f>
        <v>2.8284271247461874E-3</v>
      </c>
      <c r="L26" s="3">
        <f t="shared" ref="L26:M26" si="1">AVERAGE(L15:M15)</f>
        <v>5.0000000000000044E-4</v>
      </c>
      <c r="M26" s="3">
        <f>STDEV(L15:M15)</f>
        <v>7.0710678118654816E-4</v>
      </c>
    </row>
    <row r="27" spans="1:13" x14ac:dyDescent="0.3">
      <c r="A27" t="s">
        <v>14</v>
      </c>
      <c r="B27" s="3">
        <f t="shared" ref="B27:B33" si="2">AVERAGE(B16:C16)</f>
        <v>2.4999999999999883E-3</v>
      </c>
      <c r="C27" s="3">
        <f t="shared" ref="C27:E33" si="3">STDEV(B16:C16)</f>
        <v>7.0710678118652854E-4</v>
      </c>
      <c r="D27" s="3">
        <f t="shared" si="0"/>
        <v>5.4999999999999979E-3</v>
      </c>
      <c r="E27" s="3">
        <f t="shared" si="3"/>
        <v>2.1213203435596541E-3</v>
      </c>
      <c r="F27" s="3">
        <f t="shared" si="0"/>
        <v>5.5000000000000049E-3</v>
      </c>
      <c r="G27" s="3">
        <f t="shared" ref="G27:G33" si="4">STDEV(F16:G16)</f>
        <v>7.0710678118654816E-4</v>
      </c>
      <c r="H27" s="3">
        <f t="shared" si="0"/>
        <v>4.500000000000004E-3</v>
      </c>
      <c r="I27" s="3">
        <f t="shared" ref="I27:I33" si="5">STDEV(H16:I16)</f>
        <v>2.1213203435596446E-3</v>
      </c>
      <c r="J27" s="3">
        <f t="shared" si="0"/>
        <v>5.0000000000000044E-4</v>
      </c>
      <c r="K27" s="3">
        <f t="shared" ref="K27:K33" si="6">STDEV(J16:K16)</f>
        <v>2.1213203435596446E-3</v>
      </c>
      <c r="L27" s="3">
        <f t="shared" si="0"/>
        <v>-5.0000000000000044E-4</v>
      </c>
      <c r="M27" s="3">
        <f t="shared" ref="M27:M33" si="7">STDEV(L16:M16)</f>
        <v>7.0710678118654816E-4</v>
      </c>
    </row>
    <row r="28" spans="1:13" x14ac:dyDescent="0.3">
      <c r="A28" t="s">
        <v>15</v>
      </c>
      <c r="B28" s="3">
        <f t="shared" si="2"/>
        <v>6.0000000000000053E-3</v>
      </c>
      <c r="C28" s="3">
        <f t="shared" si="3"/>
        <v>5.6568542494923853E-3</v>
      </c>
      <c r="D28" s="3">
        <f t="shared" si="0"/>
        <v>2.5000000000000022E-3</v>
      </c>
      <c r="E28" s="3">
        <f t="shared" si="3"/>
        <v>3.5355339059327407E-3</v>
      </c>
      <c r="F28" s="3">
        <f t="shared" si="0"/>
        <v>-6.9388939039072284E-18</v>
      </c>
      <c r="G28" s="3">
        <f t="shared" si="4"/>
        <v>7.0710678118654719E-3</v>
      </c>
      <c r="H28" s="3">
        <f t="shared" si="0"/>
        <v>-5.0000000000000044E-4</v>
      </c>
      <c r="I28" s="3">
        <f t="shared" si="5"/>
        <v>9.1923881554251251E-3</v>
      </c>
      <c r="J28" s="3">
        <f t="shared" si="0"/>
        <v>0</v>
      </c>
      <c r="K28" s="3">
        <f t="shared" si="6"/>
        <v>0</v>
      </c>
      <c r="L28" s="3">
        <f t="shared" si="0"/>
        <v>5.0000000000000044E-4</v>
      </c>
      <c r="M28" s="3">
        <f t="shared" si="7"/>
        <v>7.0710678118654816E-4</v>
      </c>
    </row>
    <row r="29" spans="1:13" x14ac:dyDescent="0.3">
      <c r="A29" t="s">
        <v>16</v>
      </c>
      <c r="B29" s="3">
        <f t="shared" si="2"/>
        <v>8.9999999999999941E-3</v>
      </c>
      <c r="C29" s="3">
        <f t="shared" si="3"/>
        <v>1.4142135623731161E-3</v>
      </c>
      <c r="D29" s="3">
        <f t="shared" si="0"/>
        <v>1.5000000000000013E-3</v>
      </c>
      <c r="E29" s="3">
        <f t="shared" si="3"/>
        <v>7.0710678118654816E-4</v>
      </c>
      <c r="F29" s="3">
        <f t="shared" si="0"/>
        <v>1.199999999999999E-2</v>
      </c>
      <c r="G29" s="3">
        <f t="shared" si="4"/>
        <v>7.0710678118654693E-3</v>
      </c>
      <c r="H29" s="3">
        <f t="shared" si="0"/>
        <v>2.4999999999999953E-3</v>
      </c>
      <c r="I29" s="3">
        <f t="shared" si="5"/>
        <v>7.0710678118653841E-4</v>
      </c>
      <c r="J29" s="3">
        <f t="shared" si="0"/>
        <v>5.0000000000000044E-4</v>
      </c>
      <c r="K29" s="3">
        <f t="shared" si="6"/>
        <v>7.0710678118654816E-4</v>
      </c>
      <c r="L29" s="3">
        <f t="shared" si="0"/>
        <v>5.0000000000000044E-4</v>
      </c>
      <c r="M29" s="3">
        <f t="shared" si="7"/>
        <v>7.0710678118654816E-4</v>
      </c>
    </row>
    <row r="30" spans="1:13" x14ac:dyDescent="0.3">
      <c r="A30" t="s">
        <v>17</v>
      </c>
      <c r="B30" s="3">
        <f t="shared" si="2"/>
        <v>5.0000000000000044E-4</v>
      </c>
      <c r="C30" s="3">
        <f t="shared" si="3"/>
        <v>2.1213203435596446E-3</v>
      </c>
      <c r="D30" s="3">
        <f t="shared" si="0"/>
        <v>5.0000000000000044E-3</v>
      </c>
      <c r="E30" s="3">
        <f t="shared" si="3"/>
        <v>4.2426406871192892E-3</v>
      </c>
      <c r="F30" s="3">
        <f t="shared" si="0"/>
        <v>1.2999999999999998E-2</v>
      </c>
      <c r="G30" s="3">
        <f t="shared" si="4"/>
        <v>2.8284271247461927E-3</v>
      </c>
      <c r="H30" s="3">
        <f t="shared" si="0"/>
        <v>3.4999999999999962E-3</v>
      </c>
      <c r="I30" s="3">
        <f t="shared" si="5"/>
        <v>1.3435028842544406E-2</v>
      </c>
      <c r="J30" s="3">
        <f t="shared" si="0"/>
        <v>1.0000000000000009E-3</v>
      </c>
      <c r="K30" s="3">
        <f t="shared" si="6"/>
        <v>0</v>
      </c>
      <c r="L30" s="3">
        <f t="shared" si="0"/>
        <v>1.2000000000000011E-2</v>
      </c>
      <c r="M30" s="3">
        <f t="shared" si="7"/>
        <v>1.8384776310850254E-2</v>
      </c>
    </row>
    <row r="31" spans="1:13" x14ac:dyDescent="0.3">
      <c r="A31" t="s">
        <v>18</v>
      </c>
      <c r="B31" s="3">
        <f t="shared" si="2"/>
        <v>4.9999999999999975E-3</v>
      </c>
      <c r="C31" s="3">
        <f t="shared" si="3"/>
        <v>1.4142135623730866E-3</v>
      </c>
      <c r="D31" s="3">
        <f t="shared" si="0"/>
        <v>1.0000000000000009E-3</v>
      </c>
      <c r="E31" s="3">
        <f t="shared" si="3"/>
        <v>5.6568542494923853E-3</v>
      </c>
      <c r="F31" s="3">
        <f t="shared" si="0"/>
        <v>6.4999999999999988E-3</v>
      </c>
      <c r="G31" s="3">
        <f t="shared" si="4"/>
        <v>3.5355339059327307E-3</v>
      </c>
      <c r="H31" s="3">
        <f t="shared" si="0"/>
        <v>5.0000000000000391E-4</v>
      </c>
      <c r="I31" s="3">
        <f t="shared" si="5"/>
        <v>4.9497474683058325E-3</v>
      </c>
      <c r="J31" s="3">
        <f t="shared" si="0"/>
        <v>-9.9999999999999742E-4</v>
      </c>
      <c r="K31" s="3">
        <f t="shared" si="6"/>
        <v>1.4142135623730913E-3</v>
      </c>
      <c r="L31" s="3">
        <f t="shared" si="0"/>
        <v>2.0000000000000018E-3</v>
      </c>
      <c r="M31" s="3">
        <f t="shared" si="7"/>
        <v>2.8284271247461927E-3</v>
      </c>
    </row>
    <row r="32" spans="1:13" x14ac:dyDescent="0.3">
      <c r="A32" t="s">
        <v>19</v>
      </c>
      <c r="B32" s="3">
        <f t="shared" si="2"/>
        <v>5.5000000000000049E-3</v>
      </c>
      <c r="C32" s="3">
        <f t="shared" si="3"/>
        <v>3.5355339059327411E-3</v>
      </c>
      <c r="D32" s="3">
        <f t="shared" si="0"/>
        <v>4.4999999999999971E-3</v>
      </c>
      <c r="E32" s="3">
        <f t="shared" si="3"/>
        <v>7.0710678118653841E-4</v>
      </c>
      <c r="F32" s="3">
        <f t="shared" si="0"/>
        <v>6.9999999999999923E-3</v>
      </c>
      <c r="G32" s="3">
        <f t="shared" si="4"/>
        <v>4.2426406871192892E-3</v>
      </c>
      <c r="H32" s="3">
        <f t="shared" si="0"/>
        <v>0</v>
      </c>
      <c r="I32" s="3">
        <f t="shared" si="5"/>
        <v>0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5.0000000000000044E-4</v>
      </c>
      <c r="M32" s="3">
        <f t="shared" si="7"/>
        <v>7.0710678118654816E-4</v>
      </c>
    </row>
    <row r="33" spans="1:13" x14ac:dyDescent="0.3">
      <c r="A33" t="s">
        <v>20</v>
      </c>
      <c r="B33" s="3">
        <f t="shared" si="2"/>
        <v>1.2000000000000011E-2</v>
      </c>
      <c r="C33" s="3">
        <f t="shared" si="3"/>
        <v>1.2727922061357868E-2</v>
      </c>
      <c r="D33" s="3">
        <f t="shared" si="0"/>
        <v>1.0000000000000009E-3</v>
      </c>
      <c r="E33" s="3">
        <f t="shared" si="3"/>
        <v>4.2426406871192892E-3</v>
      </c>
      <c r="F33" s="3">
        <f t="shared" si="0"/>
        <v>1.7500000000000002E-2</v>
      </c>
      <c r="G33" s="3">
        <f t="shared" si="4"/>
        <v>2.0506096654409878E-2</v>
      </c>
      <c r="H33" s="3">
        <f t="shared" si="0"/>
        <v>2.0000000000000018E-3</v>
      </c>
      <c r="I33" s="3">
        <f t="shared" si="5"/>
        <v>0</v>
      </c>
      <c r="J33" s="3">
        <f t="shared" si="0"/>
        <v>0</v>
      </c>
      <c r="K33" s="3">
        <f t="shared" si="6"/>
        <v>0</v>
      </c>
      <c r="L33" s="3">
        <f t="shared" si="0"/>
        <v>-1.0000000000000009E-3</v>
      </c>
      <c r="M33" s="3">
        <f t="shared" si="7"/>
        <v>1.4142135623730963E-3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3"/>
  <sheetViews>
    <sheetView workbookViewId="0">
      <selection activeCell="A25" sqref="A25:M33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0.10100000000000001</v>
      </c>
      <c r="C3">
        <v>9.0999999999999998E-2</v>
      </c>
      <c r="D3">
        <v>8.3000000000000004E-2</v>
      </c>
      <c r="E3">
        <v>8.2000000000000003E-2</v>
      </c>
      <c r="F3">
        <v>0.152</v>
      </c>
      <c r="G3">
        <v>0.126</v>
      </c>
      <c r="H3">
        <v>8.5000000000000006E-2</v>
      </c>
      <c r="I3">
        <v>6.5000000000000002E-2</v>
      </c>
      <c r="J3">
        <v>5.0999999999999997E-2</v>
      </c>
      <c r="K3">
        <v>4.8000000000000001E-2</v>
      </c>
      <c r="L3">
        <v>0.12</v>
      </c>
      <c r="M3">
        <v>9.2999999999999999E-2</v>
      </c>
    </row>
    <row r="4" spans="1:13" x14ac:dyDescent="0.3">
      <c r="A4" t="s">
        <v>14</v>
      </c>
      <c r="B4">
        <v>0.13100000000000001</v>
      </c>
      <c r="C4">
        <v>0.14399999999999999</v>
      </c>
      <c r="D4">
        <v>0.08</v>
      </c>
      <c r="E4">
        <v>0.09</v>
      </c>
      <c r="F4">
        <v>0.152</v>
      </c>
      <c r="G4">
        <v>0.13400000000000001</v>
      </c>
      <c r="H4">
        <v>9.8000000000000004E-2</v>
      </c>
      <c r="I4">
        <v>9.5000000000000001E-2</v>
      </c>
      <c r="J4">
        <v>6.0999999999999999E-2</v>
      </c>
      <c r="K4">
        <v>5.5E-2</v>
      </c>
      <c r="L4">
        <v>9.2999999999999999E-2</v>
      </c>
      <c r="M4">
        <v>0.111</v>
      </c>
    </row>
    <row r="5" spans="1:13" x14ac:dyDescent="0.3">
      <c r="A5" t="s">
        <v>15</v>
      </c>
      <c r="B5">
        <v>0.14399999999999999</v>
      </c>
      <c r="C5">
        <v>0.152</v>
      </c>
      <c r="D5">
        <v>8.5000000000000006E-2</v>
      </c>
      <c r="E5">
        <v>7.9000000000000001E-2</v>
      </c>
      <c r="F5">
        <v>0.107</v>
      </c>
      <c r="G5">
        <v>0.111</v>
      </c>
      <c r="H5">
        <v>8.1000000000000003E-2</v>
      </c>
      <c r="I5">
        <v>6.2E-2</v>
      </c>
      <c r="J5">
        <v>9.4E-2</v>
      </c>
      <c r="K5">
        <v>0.11799999999999999</v>
      </c>
      <c r="L5">
        <v>0.114</v>
      </c>
      <c r="M5">
        <v>0.108</v>
      </c>
    </row>
    <row r="6" spans="1:13" x14ac:dyDescent="0.3">
      <c r="A6" t="s">
        <v>16</v>
      </c>
      <c r="B6">
        <v>0.17899999999999999</v>
      </c>
      <c r="C6">
        <v>0.19600000000000001</v>
      </c>
      <c r="D6">
        <v>8.4000000000000005E-2</v>
      </c>
      <c r="E6">
        <v>9.1999999999999998E-2</v>
      </c>
      <c r="F6">
        <v>0.125</v>
      </c>
      <c r="G6">
        <v>0.218</v>
      </c>
      <c r="H6">
        <v>7.0999999999999994E-2</v>
      </c>
      <c r="I6">
        <v>0.111</v>
      </c>
      <c r="J6">
        <v>8.4000000000000005E-2</v>
      </c>
      <c r="K6">
        <v>8.4000000000000005E-2</v>
      </c>
      <c r="L6">
        <v>0.10100000000000001</v>
      </c>
      <c r="M6">
        <v>9.9000000000000005E-2</v>
      </c>
    </row>
    <row r="7" spans="1:13" x14ac:dyDescent="0.3">
      <c r="A7" t="s">
        <v>17</v>
      </c>
      <c r="B7">
        <v>0.13600000000000001</v>
      </c>
      <c r="C7">
        <v>0.14699999999999999</v>
      </c>
      <c r="D7">
        <v>8.2000000000000003E-2</v>
      </c>
      <c r="E7">
        <v>9.5000000000000001E-2</v>
      </c>
      <c r="F7">
        <v>0.125</v>
      </c>
      <c r="G7">
        <v>0.11899999999999999</v>
      </c>
      <c r="H7">
        <v>0.108</v>
      </c>
      <c r="I7">
        <v>7.6999999999999999E-2</v>
      </c>
      <c r="J7">
        <v>6.9000000000000006E-2</v>
      </c>
      <c r="K7">
        <v>7.0000000000000007E-2</v>
      </c>
      <c r="L7">
        <v>0.65800000000000003</v>
      </c>
      <c r="M7">
        <v>9.6000000000000002E-2</v>
      </c>
    </row>
    <row r="8" spans="1:13" x14ac:dyDescent="0.3">
      <c r="A8" t="s">
        <v>18</v>
      </c>
      <c r="B8">
        <v>0.122</v>
      </c>
      <c r="C8">
        <v>9.5000000000000001E-2</v>
      </c>
      <c r="D8">
        <v>7.5999999999999998E-2</v>
      </c>
      <c r="E8">
        <v>0.08</v>
      </c>
      <c r="F8">
        <v>0.105</v>
      </c>
      <c r="G8">
        <v>8.4000000000000005E-2</v>
      </c>
      <c r="H8">
        <v>7.9000000000000001E-2</v>
      </c>
      <c r="I8">
        <v>5.6000000000000001E-2</v>
      </c>
      <c r="J8">
        <v>4.9000000000000002E-2</v>
      </c>
      <c r="K8">
        <v>6.2E-2</v>
      </c>
      <c r="L8">
        <v>0.372</v>
      </c>
      <c r="M8">
        <v>9.8000000000000004E-2</v>
      </c>
    </row>
    <row r="9" spans="1:13" x14ac:dyDescent="0.3">
      <c r="A9" t="s">
        <v>19</v>
      </c>
      <c r="B9">
        <v>0.155</v>
      </c>
      <c r="C9">
        <v>0.17</v>
      </c>
      <c r="D9">
        <v>0.105</v>
      </c>
      <c r="E9">
        <v>0.109</v>
      </c>
      <c r="F9">
        <v>0.12</v>
      </c>
      <c r="G9">
        <v>0.109</v>
      </c>
      <c r="H9">
        <v>7.0000000000000007E-2</v>
      </c>
      <c r="I9">
        <v>7.3999999999999996E-2</v>
      </c>
      <c r="J9">
        <v>0.11600000000000001</v>
      </c>
      <c r="K9">
        <v>0.115</v>
      </c>
      <c r="L9">
        <v>0.104</v>
      </c>
      <c r="M9">
        <v>0.13400000000000001</v>
      </c>
    </row>
    <row r="10" spans="1:13" x14ac:dyDescent="0.3">
      <c r="A10" t="s">
        <v>20</v>
      </c>
      <c r="B10">
        <v>0.22700000000000001</v>
      </c>
      <c r="C10">
        <v>0.22600000000000001</v>
      </c>
      <c r="D10">
        <v>0.10299999999999999</v>
      </c>
      <c r="E10">
        <v>0.11600000000000001</v>
      </c>
      <c r="F10">
        <v>0.25900000000000001</v>
      </c>
      <c r="G10">
        <v>0.161</v>
      </c>
      <c r="H10">
        <v>0.1</v>
      </c>
      <c r="I10">
        <v>9.4E-2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3.0000000000000027E-3</v>
      </c>
      <c r="C15" s="3">
        <f xml:space="preserve"> C3 - '+0.0 seg'!$C$3</f>
        <v>5.9999999999999915E-3</v>
      </c>
      <c r="D15" s="3">
        <f xml:space="preserve"> D3 - '+0.0 seg'!$D$3</f>
        <v>1.0000000000000009E-2</v>
      </c>
      <c r="E15" s="3">
        <f xml:space="preserve"> E3 - '+0.0 seg'!$E$3</f>
        <v>-4.9999999999999906E-3</v>
      </c>
      <c r="F15" s="3">
        <f xml:space="preserve"> F3 - '+0.0 seg'!$F$3</f>
        <v>5.0000000000000044E-3</v>
      </c>
      <c r="G15" s="3">
        <f xml:space="preserve"> G3 - '+0.0 seg'!$G$3</f>
        <v>1.0999999999999996E-2</v>
      </c>
      <c r="H15" s="3">
        <f xml:space="preserve"> H3 - '+0.0 seg'!$H$3</f>
        <v>2.0000000000000018E-3</v>
      </c>
      <c r="I15" s="3">
        <f xml:space="preserve"> I3 - '+0.0 seg'!$I$3</f>
        <v>4.0000000000000036E-3</v>
      </c>
      <c r="J15" s="3">
        <f xml:space="preserve"> J3 - '+0.0 seg'!$J$3</f>
        <v>0</v>
      </c>
      <c r="K15" s="3">
        <f xml:space="preserve"> K3 - '+0.0 seg'!$K$3</f>
        <v>-3.9999999999999966E-3</v>
      </c>
      <c r="L15" s="3">
        <f xml:space="preserve"> L3 - '+0.0 seg'!$L$3</f>
        <v>0</v>
      </c>
      <c r="M15" s="3">
        <f xml:space="preserve"> M3 - '+0.0 seg'!$M$3</f>
        <v>1.0000000000000009E-3</v>
      </c>
    </row>
    <row r="16" spans="1:13" x14ac:dyDescent="0.3">
      <c r="A16" t="s">
        <v>14</v>
      </c>
      <c r="B16" s="3">
        <f xml:space="preserve"> B4 - '+0.0 seg'!$B$4</f>
        <v>3.0000000000000027E-3</v>
      </c>
      <c r="C16" s="3">
        <f xml:space="preserve"> C4 - '+0.0 seg'!$C$4</f>
        <v>3.9999999999999758E-3</v>
      </c>
      <c r="D16" s="3">
        <f xml:space="preserve"> D4 - '+0.0 seg'!$D$4</f>
        <v>4.0000000000000036E-3</v>
      </c>
      <c r="E16" s="3">
        <f xml:space="preserve"> E4 - '+0.0 seg'!$E$4</f>
        <v>5.9999999999999915E-3</v>
      </c>
      <c r="F16" s="3">
        <f xml:space="preserve"> F4 - '+0.0 seg'!$F$4</f>
        <v>6.0000000000000053E-3</v>
      </c>
      <c r="G16" s="3">
        <f xml:space="preserve"> G4 - '+0.0 seg'!$G$4</f>
        <v>7.0000000000000062E-3</v>
      </c>
      <c r="H16" s="3">
        <f xml:space="preserve"> H4 - '+0.0 seg'!$H$4</f>
        <v>7.0000000000000062E-3</v>
      </c>
      <c r="I16" s="3">
        <f xml:space="preserve"> I4 - '+0.0 seg'!$I$4</f>
        <v>3.0000000000000027E-3</v>
      </c>
      <c r="J16" s="3">
        <f xml:space="preserve"> J4 - '+0.0 seg'!$J$4</f>
        <v>-1.0000000000000009E-3</v>
      </c>
      <c r="K16" s="3">
        <f xml:space="preserve"> K4 - '+0.0 seg'!$K$4</f>
        <v>3.0000000000000027E-3</v>
      </c>
      <c r="L16" s="3">
        <f xml:space="preserve"> L4 - '+0.0 seg'!$L$4</f>
        <v>-1.0000000000000009E-3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3.0000000000000027E-3</v>
      </c>
      <c r="C17" s="3">
        <f xml:space="preserve"> C5 - '+0.0 seg'!$C$5</f>
        <v>1.0000000000000009E-2</v>
      </c>
      <c r="D17" s="3">
        <f xml:space="preserve"> D5 - '+0.0 seg'!$D$5</f>
        <v>5.0000000000000044E-3</v>
      </c>
      <c r="E17" s="3">
        <f xml:space="preserve"> E5 - '+0.0 seg'!$E$5</f>
        <v>-1.0000000000000009E-3</v>
      </c>
      <c r="F17" s="3">
        <f xml:space="preserve"> F5 - '+0.0 seg'!$F$5</f>
        <v>5.9999999999999915E-3</v>
      </c>
      <c r="G17" s="3">
        <f xml:space="preserve"> G5 - '+0.0 seg'!$G$5</f>
        <v>-5.0000000000000044E-3</v>
      </c>
      <c r="H17" s="3">
        <f xml:space="preserve"> H5 - '+0.0 seg'!$H$5</f>
        <v>6.0000000000000053E-3</v>
      </c>
      <c r="I17" s="3">
        <f xml:space="preserve"> I5 - '+0.0 seg'!$I$5</f>
        <v>-7.0000000000000062E-3</v>
      </c>
      <c r="J17" s="3">
        <f xml:space="preserve"> J5 - '+0.0 seg'!$J$5</f>
        <v>0</v>
      </c>
      <c r="K17" s="3">
        <f xml:space="preserve"> K5 - '+0.0 seg'!$K$5</f>
        <v>0</v>
      </c>
      <c r="L17" s="3">
        <f xml:space="preserve"> L5 - '+0.0 seg'!$L$5</f>
        <v>0</v>
      </c>
      <c r="M17" s="3">
        <f xml:space="preserve"> M5 - '+0.0 seg'!$M$5</f>
        <v>1.0000000000000009E-3</v>
      </c>
    </row>
    <row r="18" spans="1:13" x14ac:dyDescent="0.3">
      <c r="A18" t="s">
        <v>16</v>
      </c>
      <c r="B18" s="3">
        <f xml:space="preserve"> B6 - '+0.0 seg'!$B$6</f>
        <v>7.9999999999999793E-3</v>
      </c>
      <c r="C18" s="3">
        <f xml:space="preserve"> C6 - '+0.0 seg'!$C$6</f>
        <v>1.2000000000000011E-2</v>
      </c>
      <c r="D18" s="3">
        <f xml:space="preserve"> D6 - '+0.0 seg'!$D$6</f>
        <v>2.0000000000000018E-3</v>
      </c>
      <c r="E18" s="3">
        <f xml:space="preserve"> E6 - '+0.0 seg'!$E$6</f>
        <v>1.0000000000000009E-3</v>
      </c>
      <c r="F18" s="3">
        <f xml:space="preserve"> F6 - '+0.0 seg'!$F$6</f>
        <v>7.9999999999999932E-3</v>
      </c>
      <c r="G18" s="3">
        <f xml:space="preserve"> G6 - '+0.0 seg'!$G$6</f>
        <v>1.8999999999999989E-2</v>
      </c>
      <c r="H18" s="3">
        <f xml:space="preserve"> H6 - '+0.0 seg'!$H$6</f>
        <v>2.9999999999999888E-3</v>
      </c>
      <c r="I18" s="3">
        <f xml:space="preserve"> I6 - '+0.0 seg'!$I$6</f>
        <v>2.0000000000000018E-3</v>
      </c>
      <c r="J18" s="3">
        <f xml:space="preserve"> J6 - '+0.0 seg'!$J$6</f>
        <v>1.0000000000000009E-3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2.0000000000000018E-3</v>
      </c>
    </row>
    <row r="19" spans="1:13" x14ac:dyDescent="0.3">
      <c r="A19" t="s">
        <v>17</v>
      </c>
      <c r="B19" s="3">
        <f xml:space="preserve"> B7 - '+0.0 seg'!$B$7</f>
        <v>2.0000000000000018E-3</v>
      </c>
      <c r="C19" s="3">
        <f xml:space="preserve"> C7 - '+0.0 seg'!$C$7</f>
        <v>-4.0000000000000036E-3</v>
      </c>
      <c r="D19" s="3">
        <f xml:space="preserve"> D7 - '+0.0 seg'!$D$7</f>
        <v>2.0000000000000018E-3</v>
      </c>
      <c r="E19" s="3">
        <f xml:space="preserve"> E7 - '+0.0 seg'!$E$7</f>
        <v>7.0000000000000062E-3</v>
      </c>
      <c r="F19" s="3">
        <f xml:space="preserve"> F7 - '+0.0 seg'!$F$7</f>
        <v>1.2999999999999998E-2</v>
      </c>
      <c r="G19" s="3">
        <f xml:space="preserve"> G7 - '+0.0 seg'!$G$7</f>
        <v>1.6E-2</v>
      </c>
      <c r="H19" s="3">
        <f xml:space="preserve"> H7 - '+0.0 seg'!$H$7</f>
        <v>1.3999999999999999E-2</v>
      </c>
      <c r="I19" s="3">
        <f xml:space="preserve"> I7 - '+0.0 seg'!$I$7</f>
        <v>-7.0000000000000062E-3</v>
      </c>
      <c r="J19" s="3">
        <f xml:space="preserve"> J7 - '+0.0 seg'!$J$7</f>
        <v>0</v>
      </c>
      <c r="K19" s="3">
        <f xml:space="preserve"> K7 - '+0.0 seg'!$K$7</f>
        <v>1.0000000000000009E-3</v>
      </c>
      <c r="L19" s="3">
        <f xml:space="preserve"> L7 - '+0.0 seg'!$L$7</f>
        <v>1.5000000000000013E-2</v>
      </c>
      <c r="M19" s="3">
        <f xml:space="preserve"> M7 - '+0.0 seg'!$M$7</f>
        <v>-1.0000000000000009E-3</v>
      </c>
    </row>
    <row r="20" spans="1:13" x14ac:dyDescent="0.3">
      <c r="A20" t="s">
        <v>18</v>
      </c>
      <c r="B20" s="3">
        <f xml:space="preserve"> B8 - '+0.0 seg'!$B$8</f>
        <v>5.9999999999999915E-3</v>
      </c>
      <c r="C20" s="3">
        <f xml:space="preserve"> C8 - '+0.0 seg'!$C$8</f>
        <v>4.0000000000000036E-3</v>
      </c>
      <c r="D20" s="3">
        <f xml:space="preserve"> D8 - '+0.0 seg'!$D$8</f>
        <v>-3.0000000000000027E-3</v>
      </c>
      <c r="E20" s="3">
        <f xml:space="preserve"> E8 - '+0.0 seg'!$E$8</f>
        <v>5.0000000000000044E-3</v>
      </c>
      <c r="F20" s="3">
        <f xml:space="preserve"> F8 - '+0.0 seg'!$F$8</f>
        <v>8.9999999999999941E-3</v>
      </c>
      <c r="G20" s="3">
        <f xml:space="preserve"> G8 - '+0.0 seg'!$G$8</f>
        <v>5.0000000000000044E-3</v>
      </c>
      <c r="H20" s="3">
        <f xml:space="preserve"> H8 - '+0.0 seg'!$H$8</f>
        <v>3.0000000000000027E-3</v>
      </c>
      <c r="I20" s="3">
        <f xml:space="preserve"> I8 - '+0.0 seg'!$I$8</f>
        <v>-2.9999999999999957E-3</v>
      </c>
      <c r="J20" s="3">
        <f xml:space="preserve"> J8 - '+0.0 seg'!$J$8</f>
        <v>-1.9999999999999948E-3</v>
      </c>
      <c r="K20" s="3">
        <f xml:space="preserve"> K8 - '+0.0 seg'!$K$8</f>
        <v>0</v>
      </c>
      <c r="L20" s="3">
        <f xml:space="preserve"> L8 - '+0.0 seg'!$L$8</f>
        <v>3.0000000000000027E-3</v>
      </c>
      <c r="M20" s="3">
        <f xml:space="preserve"> M8 - '+0.0 seg'!$M$8</f>
        <v>1.0000000000000009E-3</v>
      </c>
    </row>
    <row r="21" spans="1:13" x14ac:dyDescent="0.3">
      <c r="A21" t="s">
        <v>19</v>
      </c>
      <c r="B21" s="3">
        <f xml:space="preserve"> B9 - '+0.0 seg'!$B$9</f>
        <v>4.0000000000000036E-3</v>
      </c>
      <c r="C21" s="3">
        <f xml:space="preserve"> C9 - '+0.0 seg'!$C$9</f>
        <v>8.0000000000000071E-3</v>
      </c>
      <c r="D21" s="3">
        <f xml:space="preserve"> D9 - '+0.0 seg'!$D$9</f>
        <v>4.9999999999999906E-3</v>
      </c>
      <c r="E21" s="3">
        <f xml:space="preserve"> E9 - '+0.0 seg'!$E$9</f>
        <v>4.0000000000000036E-3</v>
      </c>
      <c r="F21" s="3">
        <f xml:space="preserve"> F9 - '+0.0 seg'!$F$9</f>
        <v>3.9999999999999897E-3</v>
      </c>
      <c r="G21" s="3">
        <f xml:space="preserve"> G9 - '+0.0 seg'!$G$9</f>
        <v>1.0999999999999996E-2</v>
      </c>
      <c r="H21" s="3">
        <f xml:space="preserve"> H9 - '+0.0 seg'!$H$9</f>
        <v>0</v>
      </c>
      <c r="I21" s="3">
        <f xml:space="preserve"> I9 - '+0.0 seg'!$I$9</f>
        <v>0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1.0000000000000009E-3</v>
      </c>
    </row>
    <row r="22" spans="1:13" x14ac:dyDescent="0.3">
      <c r="A22" t="s">
        <v>20</v>
      </c>
      <c r="B22" s="3">
        <f xml:space="preserve"> B10 - '+0.0 seg'!$B$10</f>
        <v>8.0000000000000071E-3</v>
      </c>
      <c r="C22" s="3">
        <f xml:space="preserve"> C10 - '+0.0 seg'!$C$10</f>
        <v>2.1000000000000019E-2</v>
      </c>
      <c r="D22" s="3">
        <f xml:space="preserve"> D10 - '+0.0 seg'!$D$10</f>
        <v>-2.0000000000000018E-3</v>
      </c>
      <c r="E22" s="3">
        <f xml:space="preserve"> E10 - '+0.0 seg'!$E$10</f>
        <v>4.0000000000000036E-3</v>
      </c>
      <c r="F22" s="3">
        <f xml:space="preserve"> F10 - '+0.0 seg'!$F$10</f>
        <v>3.3000000000000002E-2</v>
      </c>
      <c r="G22" s="3">
        <f xml:space="preserve"> G10 - '+0.0 seg'!$G$10</f>
        <v>2.0000000000000018E-3</v>
      </c>
      <c r="H22" s="3">
        <f xml:space="preserve"> H10 - '+0.0 seg'!$H$10</f>
        <v>3.0000000000000027E-3</v>
      </c>
      <c r="I22" s="3">
        <f xml:space="preserve"> I10 - '+0.0 seg'!$I$10</f>
        <v>2.0000000000000018E-3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-2.0000000000000018E-3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4.4999999999999971E-3</v>
      </c>
      <c r="C26" s="3">
        <f>STDEV(B15:C15)</f>
        <v>2.1213203435596346E-3</v>
      </c>
      <c r="D26" s="3">
        <f t="shared" ref="D26:L33" si="0">AVERAGE(D15:E15)</f>
        <v>2.5000000000000092E-3</v>
      </c>
      <c r="E26" s="3">
        <f>STDEV(D15:E15)</f>
        <v>1.0606601717798213E-2</v>
      </c>
      <c r="F26" s="3">
        <f t="shared" si="0"/>
        <v>8.0000000000000002E-3</v>
      </c>
      <c r="G26" s="3">
        <f>STDEV(F15:G15)</f>
        <v>4.2426406871192788E-3</v>
      </c>
      <c r="H26" s="3">
        <f t="shared" si="0"/>
        <v>3.0000000000000027E-3</v>
      </c>
      <c r="I26" s="3">
        <f>STDEV(H15:I15)</f>
        <v>1.4142135623730963E-3</v>
      </c>
      <c r="J26" s="3">
        <f t="shared" si="0"/>
        <v>-1.9999999999999983E-3</v>
      </c>
      <c r="K26" s="3">
        <f>STDEV(J15:K15)</f>
        <v>2.8284271247461874E-3</v>
      </c>
      <c r="L26" s="3">
        <f t="shared" ref="L26:M26" si="1">AVERAGE(L15:M15)</f>
        <v>5.0000000000000044E-4</v>
      </c>
      <c r="M26" s="3">
        <f>STDEV(L15:M15)</f>
        <v>7.0710678118654816E-4</v>
      </c>
    </row>
    <row r="27" spans="1:13" x14ac:dyDescent="0.3">
      <c r="A27" t="s">
        <v>14</v>
      </c>
      <c r="B27" s="3">
        <f t="shared" ref="B27:B33" si="2">AVERAGE(B16:C16)</f>
        <v>3.4999999999999892E-3</v>
      </c>
      <c r="C27" s="3">
        <f t="shared" ref="C27:E33" si="3">STDEV(B16:C16)</f>
        <v>7.0710678118652854E-4</v>
      </c>
      <c r="D27" s="3">
        <f t="shared" si="0"/>
        <v>4.9999999999999975E-3</v>
      </c>
      <c r="E27" s="3">
        <f t="shared" si="3"/>
        <v>1.4142135623730866E-3</v>
      </c>
      <c r="F27" s="3">
        <f t="shared" si="0"/>
        <v>6.5000000000000058E-3</v>
      </c>
      <c r="G27" s="3">
        <f t="shared" ref="G27:G33" si="4">STDEV(F16:G16)</f>
        <v>7.0710678118654816E-4</v>
      </c>
      <c r="H27" s="3">
        <f t="shared" si="0"/>
        <v>5.0000000000000044E-3</v>
      </c>
      <c r="I27" s="3">
        <f t="shared" ref="I27:I33" si="5">STDEV(H16:I16)</f>
        <v>2.8284271247461922E-3</v>
      </c>
      <c r="J27" s="3">
        <f t="shared" si="0"/>
        <v>1.0000000000000009E-3</v>
      </c>
      <c r="K27" s="3">
        <f t="shared" ref="K27:K33" si="6">STDEV(J16:K16)</f>
        <v>2.8284271247461927E-3</v>
      </c>
      <c r="L27" s="3">
        <f t="shared" si="0"/>
        <v>-5.0000000000000044E-4</v>
      </c>
      <c r="M27" s="3">
        <f t="shared" ref="M27:M33" si="7">STDEV(L16:M16)</f>
        <v>7.0710678118654816E-4</v>
      </c>
    </row>
    <row r="28" spans="1:13" x14ac:dyDescent="0.3">
      <c r="A28" t="s">
        <v>15</v>
      </c>
      <c r="B28" s="3">
        <f t="shared" si="2"/>
        <v>6.5000000000000058E-3</v>
      </c>
      <c r="C28" s="3">
        <f t="shared" si="3"/>
        <v>4.9497474683058368E-3</v>
      </c>
      <c r="D28" s="3">
        <f t="shared" si="0"/>
        <v>2.0000000000000018E-3</v>
      </c>
      <c r="E28" s="3">
        <f t="shared" si="3"/>
        <v>4.2426406871192892E-3</v>
      </c>
      <c r="F28" s="3">
        <f t="shared" si="0"/>
        <v>4.9999999999999351E-4</v>
      </c>
      <c r="G28" s="3">
        <f t="shared" si="4"/>
        <v>7.7781745930520204E-3</v>
      </c>
      <c r="H28" s="3">
        <f t="shared" si="0"/>
        <v>-5.0000000000000044E-4</v>
      </c>
      <c r="I28" s="3">
        <f t="shared" si="5"/>
        <v>9.1923881554251251E-3</v>
      </c>
      <c r="J28" s="3">
        <f t="shared" si="0"/>
        <v>0</v>
      </c>
      <c r="K28" s="3">
        <f t="shared" si="6"/>
        <v>0</v>
      </c>
      <c r="L28" s="3">
        <f t="shared" si="0"/>
        <v>5.0000000000000044E-4</v>
      </c>
      <c r="M28" s="3">
        <f t="shared" si="7"/>
        <v>7.0710678118654816E-4</v>
      </c>
    </row>
    <row r="29" spans="1:13" x14ac:dyDescent="0.3">
      <c r="A29" t="s">
        <v>16</v>
      </c>
      <c r="B29" s="3">
        <f t="shared" si="2"/>
        <v>9.999999999999995E-3</v>
      </c>
      <c r="C29" s="3">
        <f t="shared" si="3"/>
        <v>2.8284271247462122E-3</v>
      </c>
      <c r="D29" s="3">
        <f t="shared" si="0"/>
        <v>1.5000000000000013E-3</v>
      </c>
      <c r="E29" s="3">
        <f t="shared" si="3"/>
        <v>7.0710678118654816E-4</v>
      </c>
      <c r="F29" s="3">
        <f t="shared" si="0"/>
        <v>1.3499999999999991E-2</v>
      </c>
      <c r="G29" s="3">
        <f t="shared" si="4"/>
        <v>7.7781745930520195E-3</v>
      </c>
      <c r="H29" s="3">
        <f t="shared" si="0"/>
        <v>2.4999999999999953E-3</v>
      </c>
      <c r="I29" s="3">
        <f t="shared" si="5"/>
        <v>7.0710678118653841E-4</v>
      </c>
      <c r="J29" s="3">
        <f t="shared" si="0"/>
        <v>5.0000000000000044E-4</v>
      </c>
      <c r="K29" s="3">
        <f t="shared" si="6"/>
        <v>7.0710678118654816E-4</v>
      </c>
      <c r="L29" s="3">
        <f t="shared" si="0"/>
        <v>1.0000000000000009E-3</v>
      </c>
      <c r="M29" s="3">
        <f t="shared" si="7"/>
        <v>1.4142135623730963E-3</v>
      </c>
    </row>
    <row r="30" spans="1:13" x14ac:dyDescent="0.3">
      <c r="A30" t="s">
        <v>17</v>
      </c>
      <c r="B30" s="3">
        <f t="shared" si="2"/>
        <v>-1.0000000000000009E-3</v>
      </c>
      <c r="C30" s="3">
        <f t="shared" si="3"/>
        <v>4.2426406871192892E-3</v>
      </c>
      <c r="D30" s="3">
        <f t="shared" si="0"/>
        <v>4.500000000000004E-3</v>
      </c>
      <c r="E30" s="3">
        <f t="shared" si="3"/>
        <v>3.5355339059327411E-3</v>
      </c>
      <c r="F30" s="3">
        <f t="shared" si="0"/>
        <v>1.4499999999999999E-2</v>
      </c>
      <c r="G30" s="3">
        <f t="shared" si="4"/>
        <v>2.1213203435596446E-3</v>
      </c>
      <c r="H30" s="3">
        <f t="shared" si="0"/>
        <v>3.4999999999999962E-3</v>
      </c>
      <c r="I30" s="3">
        <f t="shared" si="5"/>
        <v>1.4849242404917501E-2</v>
      </c>
      <c r="J30" s="3">
        <f t="shared" si="0"/>
        <v>5.0000000000000044E-4</v>
      </c>
      <c r="K30" s="3">
        <f t="shared" si="6"/>
        <v>7.0710678118654816E-4</v>
      </c>
      <c r="L30" s="3">
        <f t="shared" si="0"/>
        <v>7.0000000000000062E-3</v>
      </c>
      <c r="M30" s="3">
        <f t="shared" si="7"/>
        <v>1.1313708498984771E-2</v>
      </c>
    </row>
    <row r="31" spans="1:13" x14ac:dyDescent="0.3">
      <c r="A31" t="s">
        <v>18</v>
      </c>
      <c r="B31" s="3">
        <f t="shared" si="2"/>
        <v>4.9999999999999975E-3</v>
      </c>
      <c r="C31" s="3">
        <f t="shared" si="3"/>
        <v>1.4142135623730866E-3</v>
      </c>
      <c r="D31" s="3">
        <f t="shared" si="0"/>
        <v>1.0000000000000009E-3</v>
      </c>
      <c r="E31" s="3">
        <f t="shared" si="3"/>
        <v>5.6568542494923853E-3</v>
      </c>
      <c r="F31" s="3">
        <f t="shared" si="0"/>
        <v>6.9999999999999993E-3</v>
      </c>
      <c r="G31" s="3">
        <f t="shared" si="4"/>
        <v>2.8284271247461835E-3</v>
      </c>
      <c r="H31" s="3">
        <f t="shared" si="0"/>
        <v>3.4694469519536142E-18</v>
      </c>
      <c r="I31" s="3">
        <f t="shared" si="5"/>
        <v>4.242640687119284E-3</v>
      </c>
      <c r="J31" s="3">
        <f t="shared" si="0"/>
        <v>-9.9999999999999742E-4</v>
      </c>
      <c r="K31" s="3">
        <f t="shared" si="6"/>
        <v>1.4142135623730913E-3</v>
      </c>
      <c r="L31" s="3">
        <f t="shared" si="0"/>
        <v>2.0000000000000018E-3</v>
      </c>
      <c r="M31" s="3">
        <f t="shared" si="7"/>
        <v>1.4142135623730961E-3</v>
      </c>
    </row>
    <row r="32" spans="1:13" x14ac:dyDescent="0.3">
      <c r="A32" t="s">
        <v>19</v>
      </c>
      <c r="B32" s="3">
        <f t="shared" si="2"/>
        <v>6.0000000000000053E-3</v>
      </c>
      <c r="C32" s="3">
        <f t="shared" si="3"/>
        <v>2.8284271247461957E-3</v>
      </c>
      <c r="D32" s="3">
        <f t="shared" si="0"/>
        <v>4.4999999999999971E-3</v>
      </c>
      <c r="E32" s="3">
        <f t="shared" si="3"/>
        <v>7.0710678118653841E-4</v>
      </c>
      <c r="F32" s="3">
        <f t="shared" si="0"/>
        <v>7.4999999999999928E-3</v>
      </c>
      <c r="G32" s="3">
        <f t="shared" si="4"/>
        <v>4.9497474683058377E-3</v>
      </c>
      <c r="H32" s="3">
        <f t="shared" si="0"/>
        <v>0</v>
      </c>
      <c r="I32" s="3">
        <f t="shared" si="5"/>
        <v>0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5.0000000000000044E-4</v>
      </c>
      <c r="M32" s="3">
        <f t="shared" si="7"/>
        <v>7.0710678118654816E-4</v>
      </c>
    </row>
    <row r="33" spans="1:13" x14ac:dyDescent="0.3">
      <c r="A33" t="s">
        <v>20</v>
      </c>
      <c r="B33" s="3">
        <f t="shared" si="2"/>
        <v>1.4500000000000013E-2</v>
      </c>
      <c r="C33" s="3">
        <f t="shared" si="3"/>
        <v>9.1923881554251269E-3</v>
      </c>
      <c r="D33" s="3">
        <f t="shared" si="0"/>
        <v>1.0000000000000009E-3</v>
      </c>
      <c r="E33" s="3">
        <f t="shared" si="3"/>
        <v>4.2426406871192892E-3</v>
      </c>
      <c r="F33" s="3">
        <f t="shared" si="0"/>
        <v>1.7500000000000002E-2</v>
      </c>
      <c r="G33" s="3">
        <f t="shared" si="4"/>
        <v>2.1920310216782975E-2</v>
      </c>
      <c r="H33" s="3">
        <f t="shared" si="0"/>
        <v>2.5000000000000022E-3</v>
      </c>
      <c r="I33" s="3">
        <f t="shared" si="5"/>
        <v>7.0710678118654816E-4</v>
      </c>
      <c r="J33" s="3">
        <f t="shared" si="0"/>
        <v>0</v>
      </c>
      <c r="K33" s="3">
        <f t="shared" si="6"/>
        <v>0</v>
      </c>
      <c r="L33" s="3">
        <f t="shared" si="0"/>
        <v>-1.0000000000000009E-3</v>
      </c>
      <c r="M33" s="3">
        <f t="shared" si="7"/>
        <v>1.4142135623730963E-3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3"/>
  <sheetViews>
    <sheetView workbookViewId="0">
      <selection activeCell="A25" sqref="A25:M33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0.10299999999999999</v>
      </c>
      <c r="C3">
        <v>9.0999999999999998E-2</v>
      </c>
      <c r="D3">
        <v>8.3000000000000004E-2</v>
      </c>
      <c r="E3">
        <v>9.9000000000000005E-2</v>
      </c>
      <c r="F3">
        <v>0.153</v>
      </c>
      <c r="G3">
        <v>0.126</v>
      </c>
      <c r="H3">
        <v>8.5000000000000006E-2</v>
      </c>
      <c r="I3">
        <v>6.5000000000000002E-2</v>
      </c>
      <c r="J3">
        <v>5.0999999999999997E-2</v>
      </c>
      <c r="K3">
        <v>4.9000000000000002E-2</v>
      </c>
      <c r="L3">
        <v>0.12</v>
      </c>
      <c r="M3">
        <v>9.2999999999999999E-2</v>
      </c>
    </row>
    <row r="4" spans="1:13" x14ac:dyDescent="0.3">
      <c r="A4" t="s">
        <v>14</v>
      </c>
      <c r="B4">
        <v>0.13500000000000001</v>
      </c>
      <c r="C4">
        <v>0.14399999999999999</v>
      </c>
      <c r="D4">
        <v>0.08</v>
      </c>
      <c r="E4">
        <v>0.09</v>
      </c>
      <c r="F4">
        <v>0.152</v>
      </c>
      <c r="G4">
        <v>0.13400000000000001</v>
      </c>
      <c r="H4">
        <v>9.8000000000000004E-2</v>
      </c>
      <c r="I4">
        <v>9.5000000000000001E-2</v>
      </c>
      <c r="J4">
        <v>6.0999999999999999E-2</v>
      </c>
      <c r="K4">
        <v>5.5E-2</v>
      </c>
      <c r="L4">
        <v>9.4E-2</v>
      </c>
      <c r="M4">
        <v>0.111</v>
      </c>
    </row>
    <row r="5" spans="1:13" x14ac:dyDescent="0.3">
      <c r="A5" t="s">
        <v>15</v>
      </c>
      <c r="B5">
        <v>0.14399999999999999</v>
      </c>
      <c r="C5">
        <v>0.153</v>
      </c>
      <c r="D5">
        <v>8.5000000000000006E-2</v>
      </c>
      <c r="E5">
        <v>0.08</v>
      </c>
      <c r="F5">
        <v>0.107</v>
      </c>
      <c r="G5">
        <v>0.111</v>
      </c>
      <c r="H5">
        <v>0.08</v>
      </c>
      <c r="I5">
        <v>6.2E-2</v>
      </c>
      <c r="J5">
        <v>9.4E-2</v>
      </c>
      <c r="K5">
        <v>0.11799999999999999</v>
      </c>
      <c r="L5">
        <v>0.114</v>
      </c>
      <c r="M5">
        <v>0.108</v>
      </c>
    </row>
    <row r="6" spans="1:13" x14ac:dyDescent="0.3">
      <c r="A6" t="s">
        <v>16</v>
      </c>
      <c r="B6">
        <v>0.18</v>
      </c>
      <c r="C6">
        <v>0.193</v>
      </c>
      <c r="D6">
        <v>8.4000000000000005E-2</v>
      </c>
      <c r="E6">
        <v>9.2999999999999999E-2</v>
      </c>
      <c r="F6">
        <v>0.126</v>
      </c>
      <c r="G6">
        <v>0.218</v>
      </c>
      <c r="H6">
        <v>7.0999999999999994E-2</v>
      </c>
      <c r="I6">
        <v>0.111</v>
      </c>
      <c r="J6">
        <v>8.4000000000000005E-2</v>
      </c>
      <c r="K6">
        <v>8.4000000000000005E-2</v>
      </c>
      <c r="L6">
        <v>0.10100000000000001</v>
      </c>
      <c r="M6">
        <v>9.9000000000000005E-2</v>
      </c>
    </row>
    <row r="7" spans="1:13" x14ac:dyDescent="0.3">
      <c r="A7" t="s">
        <v>17</v>
      </c>
      <c r="B7">
        <v>0.13600000000000001</v>
      </c>
      <c r="C7">
        <v>0.15</v>
      </c>
      <c r="D7">
        <v>8.5000000000000006E-2</v>
      </c>
      <c r="E7">
        <v>9.8000000000000004E-2</v>
      </c>
      <c r="F7">
        <v>0.124</v>
      </c>
      <c r="G7">
        <v>0.12</v>
      </c>
      <c r="H7">
        <v>0.107</v>
      </c>
      <c r="I7">
        <v>7.8E-2</v>
      </c>
      <c r="J7">
        <v>6.9000000000000006E-2</v>
      </c>
      <c r="K7">
        <v>7.0999999999999994E-2</v>
      </c>
      <c r="L7">
        <v>0.64</v>
      </c>
      <c r="M7">
        <v>9.6000000000000002E-2</v>
      </c>
    </row>
    <row r="8" spans="1:13" x14ac:dyDescent="0.3">
      <c r="A8" t="s">
        <v>18</v>
      </c>
      <c r="B8">
        <v>0.122</v>
      </c>
      <c r="C8">
        <v>9.5000000000000001E-2</v>
      </c>
      <c r="D8">
        <v>7.5999999999999998E-2</v>
      </c>
      <c r="E8">
        <v>8.1000000000000003E-2</v>
      </c>
      <c r="F8">
        <v>0.106</v>
      </c>
      <c r="G8">
        <v>8.4000000000000005E-2</v>
      </c>
      <c r="H8">
        <v>7.8E-2</v>
      </c>
      <c r="I8">
        <v>5.6000000000000001E-2</v>
      </c>
      <c r="J8">
        <v>4.9000000000000002E-2</v>
      </c>
      <c r="K8">
        <v>6.3E-2</v>
      </c>
      <c r="L8">
        <v>0.36</v>
      </c>
      <c r="M8">
        <v>9.8000000000000004E-2</v>
      </c>
    </row>
    <row r="9" spans="1:13" x14ac:dyDescent="0.3">
      <c r="A9" t="s">
        <v>19</v>
      </c>
      <c r="B9">
        <v>0.155</v>
      </c>
      <c r="C9">
        <v>0.17100000000000001</v>
      </c>
      <c r="D9">
        <v>0.106</v>
      </c>
      <c r="E9">
        <v>0.11</v>
      </c>
      <c r="F9">
        <v>0.12</v>
      </c>
      <c r="G9">
        <v>0.109</v>
      </c>
      <c r="H9">
        <v>7.0000000000000007E-2</v>
      </c>
      <c r="I9">
        <v>7.4999999999999997E-2</v>
      </c>
      <c r="J9">
        <v>0.11600000000000001</v>
      </c>
      <c r="K9">
        <v>0.115</v>
      </c>
      <c r="L9">
        <v>0.104</v>
      </c>
      <c r="M9">
        <v>0.13400000000000001</v>
      </c>
    </row>
    <row r="10" spans="1:13" x14ac:dyDescent="0.3">
      <c r="A10" t="s">
        <v>20</v>
      </c>
      <c r="B10">
        <v>0.21299999999999999</v>
      </c>
      <c r="C10">
        <v>0.22700000000000001</v>
      </c>
      <c r="D10">
        <v>0.10299999999999999</v>
      </c>
      <c r="E10">
        <v>0.11799999999999999</v>
      </c>
      <c r="F10">
        <v>0.26</v>
      </c>
      <c r="G10">
        <v>0.161</v>
      </c>
      <c r="H10">
        <v>0.1</v>
      </c>
      <c r="I10">
        <v>9.4E-2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4.9999999999999906E-3</v>
      </c>
      <c r="C15" s="3">
        <f xml:space="preserve"> C3 - '+0.0 seg'!$C$3</f>
        <v>5.9999999999999915E-3</v>
      </c>
      <c r="D15" s="3">
        <f xml:space="preserve"> D3 - '+0.0 seg'!$D$3</f>
        <v>1.0000000000000009E-2</v>
      </c>
      <c r="E15" s="3">
        <f xml:space="preserve"> E3 - '+0.0 seg'!$E$3</f>
        <v>1.2000000000000011E-2</v>
      </c>
      <c r="F15" s="3">
        <f xml:space="preserve"> F3 - '+0.0 seg'!$F$3</f>
        <v>6.0000000000000053E-3</v>
      </c>
      <c r="G15" s="3">
        <f xml:space="preserve"> G3 - '+0.0 seg'!$G$3</f>
        <v>1.0999999999999996E-2</v>
      </c>
      <c r="H15" s="3">
        <f xml:space="preserve"> H3 - '+0.0 seg'!$H$3</f>
        <v>2.0000000000000018E-3</v>
      </c>
      <c r="I15" s="3">
        <f xml:space="preserve"> I3 - '+0.0 seg'!$I$3</f>
        <v>4.0000000000000036E-3</v>
      </c>
      <c r="J15" s="3">
        <f xml:space="preserve"> J3 - '+0.0 seg'!$J$3</f>
        <v>0</v>
      </c>
      <c r="K15" s="3">
        <f xml:space="preserve"> K3 - '+0.0 seg'!$K$3</f>
        <v>-2.9999999999999957E-3</v>
      </c>
      <c r="L15" s="3">
        <f xml:space="preserve"> L3 - '+0.0 seg'!$L$3</f>
        <v>0</v>
      </c>
      <c r="M15" s="3">
        <f xml:space="preserve"> M3 - '+0.0 seg'!$M$3</f>
        <v>1.0000000000000009E-3</v>
      </c>
    </row>
    <row r="16" spans="1:13" x14ac:dyDescent="0.3">
      <c r="A16" t="s">
        <v>14</v>
      </c>
      <c r="B16" s="3">
        <f xml:space="preserve"> B4 - '+0.0 seg'!$B$4</f>
        <v>7.0000000000000062E-3</v>
      </c>
      <c r="C16" s="3">
        <f xml:space="preserve"> C4 - '+0.0 seg'!$C$4</f>
        <v>3.9999999999999758E-3</v>
      </c>
      <c r="D16" s="3">
        <f xml:space="preserve"> D4 - '+0.0 seg'!$D$4</f>
        <v>4.0000000000000036E-3</v>
      </c>
      <c r="E16" s="3">
        <f xml:space="preserve"> E4 - '+0.0 seg'!$E$4</f>
        <v>5.9999999999999915E-3</v>
      </c>
      <c r="F16" s="3">
        <f xml:space="preserve"> F4 - '+0.0 seg'!$F$4</f>
        <v>6.0000000000000053E-3</v>
      </c>
      <c r="G16" s="3">
        <f xml:space="preserve"> G4 - '+0.0 seg'!$G$4</f>
        <v>7.0000000000000062E-3</v>
      </c>
      <c r="H16" s="3">
        <f xml:space="preserve"> H4 - '+0.0 seg'!$H$4</f>
        <v>7.0000000000000062E-3</v>
      </c>
      <c r="I16" s="3">
        <f xml:space="preserve"> I4 - '+0.0 seg'!$I$4</f>
        <v>3.0000000000000027E-3</v>
      </c>
      <c r="J16" s="3">
        <f xml:space="preserve"> J4 - '+0.0 seg'!$J$4</f>
        <v>-1.0000000000000009E-3</v>
      </c>
      <c r="K16" s="3">
        <f xml:space="preserve"> K4 - '+0.0 seg'!$K$4</f>
        <v>3.0000000000000027E-3</v>
      </c>
      <c r="L16" s="3">
        <f xml:space="preserve"> L4 - '+0.0 seg'!$L$4</f>
        <v>0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3.0000000000000027E-3</v>
      </c>
      <c r="C17" s="3">
        <f xml:space="preserve"> C5 - '+0.0 seg'!$C$5</f>
        <v>1.100000000000001E-2</v>
      </c>
      <c r="D17" s="3">
        <f xml:space="preserve"> D5 - '+0.0 seg'!$D$5</f>
        <v>5.0000000000000044E-3</v>
      </c>
      <c r="E17" s="3">
        <f xml:space="preserve"> E5 - '+0.0 seg'!$E$5</f>
        <v>0</v>
      </c>
      <c r="F17" s="3">
        <f xml:space="preserve"> F5 - '+0.0 seg'!$F$5</f>
        <v>5.9999999999999915E-3</v>
      </c>
      <c r="G17" s="3">
        <f xml:space="preserve"> G5 - '+0.0 seg'!$G$5</f>
        <v>-5.0000000000000044E-3</v>
      </c>
      <c r="H17" s="3">
        <f xml:space="preserve"> H5 - '+0.0 seg'!$H$5</f>
        <v>5.0000000000000044E-3</v>
      </c>
      <c r="I17" s="3">
        <f xml:space="preserve"> I5 - '+0.0 seg'!$I$5</f>
        <v>-7.0000000000000062E-3</v>
      </c>
      <c r="J17" s="3">
        <f xml:space="preserve"> J5 - '+0.0 seg'!$J$5</f>
        <v>0</v>
      </c>
      <c r="K17" s="3">
        <f xml:space="preserve"> K5 - '+0.0 seg'!$K$5</f>
        <v>0</v>
      </c>
      <c r="L17" s="3">
        <f xml:space="preserve"> L5 - '+0.0 seg'!$L$5</f>
        <v>0</v>
      </c>
      <c r="M17" s="3">
        <f xml:space="preserve"> M5 - '+0.0 seg'!$M$5</f>
        <v>1.0000000000000009E-3</v>
      </c>
    </row>
    <row r="18" spans="1:13" x14ac:dyDescent="0.3">
      <c r="A18" t="s">
        <v>16</v>
      </c>
      <c r="B18" s="3">
        <f xml:space="preserve"> B6 - '+0.0 seg'!$B$6</f>
        <v>8.9999999999999802E-3</v>
      </c>
      <c r="C18" s="3">
        <f xml:space="preserve"> C6 - '+0.0 seg'!$C$6</f>
        <v>9.000000000000008E-3</v>
      </c>
      <c r="D18" s="3">
        <f xml:space="preserve"> D6 - '+0.0 seg'!$D$6</f>
        <v>2.0000000000000018E-3</v>
      </c>
      <c r="E18" s="3">
        <f xml:space="preserve"> E6 - '+0.0 seg'!$E$6</f>
        <v>2.0000000000000018E-3</v>
      </c>
      <c r="F18" s="3">
        <f xml:space="preserve"> F6 - '+0.0 seg'!$F$6</f>
        <v>8.9999999999999941E-3</v>
      </c>
      <c r="G18" s="3">
        <f xml:space="preserve"> G6 - '+0.0 seg'!$G$6</f>
        <v>1.8999999999999989E-2</v>
      </c>
      <c r="H18" s="3">
        <f xml:space="preserve"> H6 - '+0.0 seg'!$H$6</f>
        <v>2.9999999999999888E-3</v>
      </c>
      <c r="I18" s="3">
        <f xml:space="preserve"> I6 - '+0.0 seg'!$I$6</f>
        <v>2.0000000000000018E-3</v>
      </c>
      <c r="J18" s="3">
        <f xml:space="preserve"> J6 - '+0.0 seg'!$J$6</f>
        <v>1.0000000000000009E-3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2.0000000000000018E-3</v>
      </c>
    </row>
    <row r="19" spans="1:13" x14ac:dyDescent="0.3">
      <c r="A19" t="s">
        <v>17</v>
      </c>
      <c r="B19" s="3">
        <f xml:space="preserve"> B7 - '+0.0 seg'!$B$7</f>
        <v>2.0000000000000018E-3</v>
      </c>
      <c r="C19" s="3">
        <f xml:space="preserve"> C7 - '+0.0 seg'!$C$7</f>
        <v>-1.0000000000000009E-3</v>
      </c>
      <c r="D19" s="3">
        <f xml:space="preserve"> D7 - '+0.0 seg'!$D$7</f>
        <v>5.0000000000000044E-3</v>
      </c>
      <c r="E19" s="3">
        <f xml:space="preserve"> E7 - '+0.0 seg'!$E$7</f>
        <v>1.0000000000000009E-2</v>
      </c>
      <c r="F19" s="3">
        <f xml:space="preserve"> F7 - '+0.0 seg'!$F$7</f>
        <v>1.1999999999999997E-2</v>
      </c>
      <c r="G19" s="3">
        <f xml:space="preserve"> G7 - '+0.0 seg'!$G$7</f>
        <v>1.7000000000000001E-2</v>
      </c>
      <c r="H19" s="3">
        <f xml:space="preserve"> H7 - '+0.0 seg'!$H$7</f>
        <v>1.2999999999999998E-2</v>
      </c>
      <c r="I19" s="3">
        <f xml:space="preserve"> I7 - '+0.0 seg'!$I$7</f>
        <v>-6.0000000000000053E-3</v>
      </c>
      <c r="J19" s="3">
        <f xml:space="preserve"> J7 - '+0.0 seg'!$J$7</f>
        <v>0</v>
      </c>
      <c r="K19" s="3">
        <f xml:space="preserve"> K7 - '+0.0 seg'!$K$7</f>
        <v>1.9999999999999879E-3</v>
      </c>
      <c r="L19" s="3">
        <f xml:space="preserve"> L7 - '+0.0 seg'!$L$7</f>
        <v>-3.0000000000000027E-3</v>
      </c>
      <c r="M19" s="3">
        <f xml:space="preserve"> M7 - '+0.0 seg'!$M$7</f>
        <v>-1.0000000000000009E-3</v>
      </c>
    </row>
    <row r="20" spans="1:13" x14ac:dyDescent="0.3">
      <c r="A20" t="s">
        <v>18</v>
      </c>
      <c r="B20" s="3">
        <f xml:space="preserve"> B8 - '+0.0 seg'!$B$8</f>
        <v>5.9999999999999915E-3</v>
      </c>
      <c r="C20" s="3">
        <f xml:space="preserve"> C8 - '+0.0 seg'!$C$8</f>
        <v>4.0000000000000036E-3</v>
      </c>
      <c r="D20" s="3">
        <f xml:space="preserve"> D8 - '+0.0 seg'!$D$8</f>
        <v>-3.0000000000000027E-3</v>
      </c>
      <c r="E20" s="3">
        <f xml:space="preserve"> E8 - '+0.0 seg'!$E$8</f>
        <v>6.0000000000000053E-3</v>
      </c>
      <c r="F20" s="3">
        <f xml:space="preserve"> F8 - '+0.0 seg'!$F$8</f>
        <v>9.999999999999995E-3</v>
      </c>
      <c r="G20" s="3">
        <f xml:space="preserve"> G8 - '+0.0 seg'!$G$8</f>
        <v>5.0000000000000044E-3</v>
      </c>
      <c r="H20" s="3">
        <f xml:space="preserve"> H8 - '+0.0 seg'!$H$8</f>
        <v>2.0000000000000018E-3</v>
      </c>
      <c r="I20" s="3">
        <f xml:space="preserve"> I8 - '+0.0 seg'!$I$8</f>
        <v>-2.9999999999999957E-3</v>
      </c>
      <c r="J20" s="3">
        <f xml:space="preserve"> J8 - '+0.0 seg'!$J$8</f>
        <v>-1.9999999999999948E-3</v>
      </c>
      <c r="K20" s="3">
        <f xml:space="preserve"> K8 - '+0.0 seg'!$K$8</f>
        <v>1.0000000000000009E-3</v>
      </c>
      <c r="L20" s="3">
        <f xml:space="preserve"> L8 - '+0.0 seg'!$L$8</f>
        <v>-9.000000000000008E-3</v>
      </c>
      <c r="M20" s="3">
        <f xml:space="preserve"> M8 - '+0.0 seg'!$M$8</f>
        <v>1.0000000000000009E-3</v>
      </c>
    </row>
    <row r="21" spans="1:13" x14ac:dyDescent="0.3">
      <c r="A21" t="s">
        <v>19</v>
      </c>
      <c r="B21" s="3">
        <f xml:space="preserve"> B9 - '+0.0 seg'!$B$9</f>
        <v>4.0000000000000036E-3</v>
      </c>
      <c r="C21" s="3">
        <f xml:space="preserve"> C9 - '+0.0 seg'!$C$9</f>
        <v>9.000000000000008E-3</v>
      </c>
      <c r="D21" s="3">
        <f xml:space="preserve"> D9 - '+0.0 seg'!$D$9</f>
        <v>5.9999999999999915E-3</v>
      </c>
      <c r="E21" s="3">
        <f xml:space="preserve"> E9 - '+0.0 seg'!$E$9</f>
        <v>5.0000000000000044E-3</v>
      </c>
      <c r="F21" s="3">
        <f xml:space="preserve"> F9 - '+0.0 seg'!$F$9</f>
        <v>3.9999999999999897E-3</v>
      </c>
      <c r="G21" s="3">
        <f xml:space="preserve"> G9 - '+0.0 seg'!$G$9</f>
        <v>1.0999999999999996E-2</v>
      </c>
      <c r="H21" s="3">
        <f xml:space="preserve"> H9 - '+0.0 seg'!$H$9</f>
        <v>0</v>
      </c>
      <c r="I21" s="3">
        <f xml:space="preserve"> I9 - '+0.0 seg'!$I$9</f>
        <v>1.0000000000000009E-3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1.0000000000000009E-3</v>
      </c>
    </row>
    <row r="22" spans="1:13" x14ac:dyDescent="0.3">
      <c r="A22" t="s">
        <v>20</v>
      </c>
      <c r="B22" s="3">
        <f xml:space="preserve"> B10 - '+0.0 seg'!$B$10</f>
        <v>-6.0000000000000053E-3</v>
      </c>
      <c r="C22" s="3">
        <f xml:space="preserve"> C10 - '+0.0 seg'!$C$10</f>
        <v>2.200000000000002E-2</v>
      </c>
      <c r="D22" s="3">
        <f xml:space="preserve"> D10 - '+0.0 seg'!$D$10</f>
        <v>-2.0000000000000018E-3</v>
      </c>
      <c r="E22" s="3">
        <f xml:space="preserve"> E10 - '+0.0 seg'!$E$10</f>
        <v>5.9999999999999915E-3</v>
      </c>
      <c r="F22" s="3">
        <f xml:space="preserve"> F10 - '+0.0 seg'!$F$10</f>
        <v>3.4000000000000002E-2</v>
      </c>
      <c r="G22" s="3">
        <f xml:space="preserve"> G10 - '+0.0 seg'!$G$10</f>
        <v>2.0000000000000018E-3</v>
      </c>
      <c r="H22" s="3">
        <f xml:space="preserve"> H10 - '+0.0 seg'!$H$10</f>
        <v>3.0000000000000027E-3</v>
      </c>
      <c r="I22" s="3">
        <f xml:space="preserve"> I10 - '+0.0 seg'!$I$10</f>
        <v>2.0000000000000018E-3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-2.0000000000000018E-3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5.499999999999991E-3</v>
      </c>
      <c r="C26" s="3">
        <f>STDEV(B15:C15)</f>
        <v>7.0710678118654816E-4</v>
      </c>
      <c r="D26" s="3">
        <f t="shared" ref="D26:L33" si="0">AVERAGE(D15:E15)</f>
        <v>1.100000000000001E-2</v>
      </c>
      <c r="E26" s="3">
        <f>STDEV(D15:E15)</f>
        <v>1.4142135623730963E-3</v>
      </c>
      <c r="F26" s="3">
        <f t="shared" si="0"/>
        <v>8.5000000000000006E-3</v>
      </c>
      <c r="G26" s="3">
        <f>STDEV(F15:G15)</f>
        <v>3.5355339059327307E-3</v>
      </c>
      <c r="H26" s="3">
        <f t="shared" si="0"/>
        <v>3.0000000000000027E-3</v>
      </c>
      <c r="I26" s="3">
        <f>STDEV(H15:I15)</f>
        <v>1.4142135623730963E-3</v>
      </c>
      <c r="J26" s="3">
        <f t="shared" si="0"/>
        <v>-1.4999999999999979E-3</v>
      </c>
      <c r="K26" s="3">
        <f>STDEV(J15:K15)</f>
        <v>2.1213203435596394E-3</v>
      </c>
      <c r="L26" s="3">
        <f t="shared" ref="L26:M26" si="1">AVERAGE(L15:M15)</f>
        <v>5.0000000000000044E-4</v>
      </c>
      <c r="M26" s="3">
        <f>STDEV(L15:M15)</f>
        <v>7.0710678118654816E-4</v>
      </c>
    </row>
    <row r="27" spans="1:13" x14ac:dyDescent="0.3">
      <c r="A27" t="s">
        <v>14</v>
      </c>
      <c r="B27" s="3">
        <f t="shared" ref="B27:B33" si="2">AVERAGE(B16:C16)</f>
        <v>5.499999999999991E-3</v>
      </c>
      <c r="C27" s="3">
        <f t="shared" ref="C27:E33" si="3">STDEV(B16:C16)</f>
        <v>2.1213203435596641E-3</v>
      </c>
      <c r="D27" s="3">
        <f t="shared" si="0"/>
        <v>4.9999999999999975E-3</v>
      </c>
      <c r="E27" s="3">
        <f t="shared" si="3"/>
        <v>1.4142135623730866E-3</v>
      </c>
      <c r="F27" s="3">
        <f t="shared" si="0"/>
        <v>6.5000000000000058E-3</v>
      </c>
      <c r="G27" s="3">
        <f t="shared" ref="G27:G33" si="4">STDEV(F16:G16)</f>
        <v>7.0710678118654816E-4</v>
      </c>
      <c r="H27" s="3">
        <f t="shared" si="0"/>
        <v>5.0000000000000044E-3</v>
      </c>
      <c r="I27" s="3">
        <f t="shared" ref="I27:I33" si="5">STDEV(H16:I16)</f>
        <v>2.8284271247461922E-3</v>
      </c>
      <c r="J27" s="3">
        <f t="shared" si="0"/>
        <v>1.0000000000000009E-3</v>
      </c>
      <c r="K27" s="3">
        <f t="shared" ref="K27:K33" si="6">STDEV(J16:K16)</f>
        <v>2.8284271247461927E-3</v>
      </c>
      <c r="L27" s="3">
        <f t="shared" si="0"/>
        <v>0</v>
      </c>
      <c r="M27" s="3">
        <f t="shared" ref="M27:M33" si="7">STDEV(L16:M16)</f>
        <v>0</v>
      </c>
    </row>
    <row r="28" spans="1:13" x14ac:dyDescent="0.3">
      <c r="A28" t="s">
        <v>15</v>
      </c>
      <c r="B28" s="3">
        <f t="shared" si="2"/>
        <v>7.0000000000000062E-3</v>
      </c>
      <c r="C28" s="3">
        <f t="shared" si="3"/>
        <v>5.6568542494923853E-3</v>
      </c>
      <c r="D28" s="3">
        <f t="shared" si="0"/>
        <v>2.5000000000000022E-3</v>
      </c>
      <c r="E28" s="3">
        <f t="shared" si="3"/>
        <v>3.5355339059327407E-3</v>
      </c>
      <c r="F28" s="3">
        <f t="shared" si="0"/>
        <v>4.9999999999999351E-4</v>
      </c>
      <c r="G28" s="3">
        <f t="shared" si="4"/>
        <v>7.7781745930520204E-3</v>
      </c>
      <c r="H28" s="3">
        <f t="shared" si="0"/>
        <v>-1.0000000000000009E-3</v>
      </c>
      <c r="I28" s="3">
        <f t="shared" si="5"/>
        <v>8.4852813742385784E-3</v>
      </c>
      <c r="J28" s="3">
        <f t="shared" si="0"/>
        <v>0</v>
      </c>
      <c r="K28" s="3">
        <f t="shared" si="6"/>
        <v>0</v>
      </c>
      <c r="L28" s="3">
        <f t="shared" si="0"/>
        <v>5.0000000000000044E-4</v>
      </c>
      <c r="M28" s="3">
        <f t="shared" si="7"/>
        <v>7.0710678118654816E-4</v>
      </c>
    </row>
    <row r="29" spans="1:13" x14ac:dyDescent="0.3">
      <c r="A29" t="s">
        <v>16</v>
      </c>
      <c r="B29" s="3">
        <f t="shared" si="2"/>
        <v>8.9999999999999941E-3</v>
      </c>
      <c r="C29" s="3">
        <f t="shared" si="3"/>
        <v>1.962615573354719E-17</v>
      </c>
      <c r="D29" s="3">
        <f t="shared" si="0"/>
        <v>2.0000000000000018E-3</v>
      </c>
      <c r="E29" s="3">
        <f t="shared" si="3"/>
        <v>0</v>
      </c>
      <c r="F29" s="3">
        <f t="shared" si="0"/>
        <v>1.3999999999999992E-2</v>
      </c>
      <c r="G29" s="3">
        <f t="shared" si="4"/>
        <v>7.0710678118654727E-3</v>
      </c>
      <c r="H29" s="3">
        <f t="shared" si="0"/>
        <v>2.4999999999999953E-3</v>
      </c>
      <c r="I29" s="3">
        <f t="shared" si="5"/>
        <v>7.0710678118653841E-4</v>
      </c>
      <c r="J29" s="3">
        <f t="shared" si="0"/>
        <v>5.0000000000000044E-4</v>
      </c>
      <c r="K29" s="3">
        <f t="shared" si="6"/>
        <v>7.0710678118654816E-4</v>
      </c>
      <c r="L29" s="3">
        <f t="shared" si="0"/>
        <v>1.0000000000000009E-3</v>
      </c>
      <c r="M29" s="3">
        <f t="shared" si="7"/>
        <v>1.4142135623730963E-3</v>
      </c>
    </row>
    <row r="30" spans="1:13" x14ac:dyDescent="0.3">
      <c r="A30" t="s">
        <v>17</v>
      </c>
      <c r="B30" s="3">
        <f t="shared" si="2"/>
        <v>5.0000000000000044E-4</v>
      </c>
      <c r="C30" s="3">
        <f t="shared" si="3"/>
        <v>2.1213203435596446E-3</v>
      </c>
      <c r="D30" s="3">
        <f t="shared" si="0"/>
        <v>7.5000000000000067E-3</v>
      </c>
      <c r="E30" s="3">
        <f t="shared" si="3"/>
        <v>3.5355339059327403E-3</v>
      </c>
      <c r="F30" s="3">
        <f t="shared" si="0"/>
        <v>1.4499999999999999E-2</v>
      </c>
      <c r="G30" s="3">
        <f t="shared" si="4"/>
        <v>3.5355339059327407E-3</v>
      </c>
      <c r="H30" s="3">
        <f t="shared" si="0"/>
        <v>3.4999999999999962E-3</v>
      </c>
      <c r="I30" s="3">
        <f t="shared" si="5"/>
        <v>1.3435028842544406E-2</v>
      </c>
      <c r="J30" s="3">
        <f t="shared" si="0"/>
        <v>9.9999999999999395E-4</v>
      </c>
      <c r="K30" s="3">
        <f t="shared" si="6"/>
        <v>1.4142135623730866E-3</v>
      </c>
      <c r="L30" s="3">
        <f t="shared" si="0"/>
        <v>-2.0000000000000018E-3</v>
      </c>
      <c r="M30" s="3">
        <f t="shared" si="7"/>
        <v>1.4142135623730961E-3</v>
      </c>
    </row>
    <row r="31" spans="1:13" x14ac:dyDescent="0.3">
      <c r="A31" t="s">
        <v>18</v>
      </c>
      <c r="B31" s="3">
        <f t="shared" si="2"/>
        <v>4.9999999999999975E-3</v>
      </c>
      <c r="C31" s="3">
        <f t="shared" si="3"/>
        <v>1.4142135623730866E-3</v>
      </c>
      <c r="D31" s="3">
        <f t="shared" si="0"/>
        <v>1.5000000000000013E-3</v>
      </c>
      <c r="E31" s="3">
        <f t="shared" si="3"/>
        <v>6.3639610306789329E-3</v>
      </c>
      <c r="F31" s="3">
        <f t="shared" si="0"/>
        <v>7.4999999999999997E-3</v>
      </c>
      <c r="G31" s="3">
        <f t="shared" si="4"/>
        <v>3.5355339059327307E-3</v>
      </c>
      <c r="H31" s="3">
        <f t="shared" si="0"/>
        <v>-4.9999999999999697E-4</v>
      </c>
      <c r="I31" s="3">
        <f t="shared" si="5"/>
        <v>3.5355339059327359E-3</v>
      </c>
      <c r="J31" s="3">
        <f t="shared" si="0"/>
        <v>-4.9999999999999697E-4</v>
      </c>
      <c r="K31" s="3">
        <f t="shared" si="6"/>
        <v>2.1213203435596394E-3</v>
      </c>
      <c r="L31" s="3">
        <f t="shared" si="0"/>
        <v>-4.0000000000000036E-3</v>
      </c>
      <c r="M31" s="3">
        <f t="shared" si="7"/>
        <v>7.0710678118654805E-3</v>
      </c>
    </row>
    <row r="32" spans="1:13" x14ac:dyDescent="0.3">
      <c r="A32" t="s">
        <v>19</v>
      </c>
      <c r="B32" s="3">
        <f t="shared" si="2"/>
        <v>6.5000000000000058E-3</v>
      </c>
      <c r="C32" s="3">
        <f t="shared" si="3"/>
        <v>3.5355339059327385E-3</v>
      </c>
      <c r="D32" s="3">
        <f t="shared" si="0"/>
        <v>5.4999999999999979E-3</v>
      </c>
      <c r="E32" s="3">
        <f t="shared" si="3"/>
        <v>7.0710678118653841E-4</v>
      </c>
      <c r="F32" s="3">
        <f t="shared" si="0"/>
        <v>7.4999999999999928E-3</v>
      </c>
      <c r="G32" s="3">
        <f t="shared" si="4"/>
        <v>4.9497474683058377E-3</v>
      </c>
      <c r="H32" s="3">
        <f t="shared" si="0"/>
        <v>5.0000000000000044E-4</v>
      </c>
      <c r="I32" s="3">
        <f t="shared" si="5"/>
        <v>7.0710678118654816E-4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5.0000000000000044E-4</v>
      </c>
      <c r="M32" s="3">
        <f t="shared" si="7"/>
        <v>7.0710678118654816E-4</v>
      </c>
    </row>
    <row r="33" spans="1:13" x14ac:dyDescent="0.3">
      <c r="A33" t="s">
        <v>20</v>
      </c>
      <c r="B33" s="3">
        <f t="shared" si="2"/>
        <v>8.0000000000000071E-3</v>
      </c>
      <c r="C33" s="3">
        <f t="shared" si="3"/>
        <v>1.9798989873223347E-2</v>
      </c>
      <c r="D33" s="3">
        <f t="shared" si="0"/>
        <v>1.9999999999999948E-3</v>
      </c>
      <c r="E33" s="3">
        <f t="shared" si="3"/>
        <v>5.6568542494923758E-3</v>
      </c>
      <c r="F33" s="3">
        <f t="shared" si="0"/>
        <v>1.8000000000000002E-2</v>
      </c>
      <c r="G33" s="3">
        <f t="shared" si="4"/>
        <v>2.2627416997969524E-2</v>
      </c>
      <c r="H33" s="3">
        <f t="shared" si="0"/>
        <v>2.5000000000000022E-3</v>
      </c>
      <c r="I33" s="3">
        <f t="shared" si="5"/>
        <v>7.0710678118654816E-4</v>
      </c>
      <c r="J33" s="3">
        <f t="shared" si="0"/>
        <v>0</v>
      </c>
      <c r="K33" s="3">
        <f t="shared" si="6"/>
        <v>0</v>
      </c>
      <c r="L33" s="3">
        <f t="shared" si="0"/>
        <v>-1.0000000000000009E-3</v>
      </c>
      <c r="M33" s="3">
        <f t="shared" si="7"/>
        <v>1.4142135623730963E-3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3"/>
  <sheetViews>
    <sheetView workbookViewId="0">
      <selection activeCell="A25" sqref="A25:M33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0.104</v>
      </c>
      <c r="C3">
        <v>9.0999999999999998E-2</v>
      </c>
      <c r="D3">
        <v>8.3000000000000004E-2</v>
      </c>
      <c r="E3">
        <v>9.0999999999999998E-2</v>
      </c>
      <c r="F3">
        <v>0.153</v>
      </c>
      <c r="G3">
        <v>0.127</v>
      </c>
      <c r="H3">
        <v>8.5000000000000006E-2</v>
      </c>
      <c r="I3">
        <v>6.5000000000000002E-2</v>
      </c>
      <c r="J3">
        <v>5.0999999999999997E-2</v>
      </c>
      <c r="K3">
        <v>4.9000000000000002E-2</v>
      </c>
      <c r="L3">
        <v>0.121</v>
      </c>
      <c r="M3">
        <v>9.2999999999999999E-2</v>
      </c>
    </row>
    <row r="4" spans="1:13" x14ac:dyDescent="0.3">
      <c r="A4" t="s">
        <v>14</v>
      </c>
      <c r="B4">
        <v>0.13200000000000001</v>
      </c>
      <c r="C4">
        <v>0.14399999999999999</v>
      </c>
      <c r="D4">
        <v>8.2000000000000003E-2</v>
      </c>
      <c r="E4">
        <v>0.09</v>
      </c>
      <c r="F4">
        <v>0.152</v>
      </c>
      <c r="G4">
        <v>0.13500000000000001</v>
      </c>
      <c r="H4">
        <v>9.9000000000000005E-2</v>
      </c>
      <c r="I4">
        <v>9.6000000000000002E-2</v>
      </c>
      <c r="J4">
        <v>6.0999999999999999E-2</v>
      </c>
      <c r="K4">
        <v>5.5E-2</v>
      </c>
      <c r="L4">
        <v>9.4E-2</v>
      </c>
      <c r="M4">
        <v>0.111</v>
      </c>
    </row>
    <row r="5" spans="1:13" x14ac:dyDescent="0.3">
      <c r="A5" t="s">
        <v>15</v>
      </c>
      <c r="B5">
        <v>0.14399999999999999</v>
      </c>
      <c r="C5">
        <v>0.153</v>
      </c>
      <c r="D5">
        <v>8.5000000000000006E-2</v>
      </c>
      <c r="E5">
        <v>0.08</v>
      </c>
      <c r="F5">
        <v>0.108</v>
      </c>
      <c r="G5">
        <v>0.111</v>
      </c>
      <c r="H5">
        <v>0.08</v>
      </c>
      <c r="I5">
        <v>6.2E-2</v>
      </c>
      <c r="J5">
        <v>9.4E-2</v>
      </c>
      <c r="K5">
        <v>0.11799999999999999</v>
      </c>
      <c r="L5">
        <v>0.114</v>
      </c>
      <c r="M5">
        <v>0.108</v>
      </c>
    </row>
    <row r="6" spans="1:13" x14ac:dyDescent="0.3">
      <c r="A6" t="s">
        <v>16</v>
      </c>
      <c r="B6">
        <v>0.18</v>
      </c>
      <c r="C6">
        <v>0.19500000000000001</v>
      </c>
      <c r="D6">
        <v>8.4000000000000005E-2</v>
      </c>
      <c r="E6">
        <v>9.2999999999999999E-2</v>
      </c>
      <c r="F6">
        <v>0.126</v>
      </c>
      <c r="G6">
        <v>0.219</v>
      </c>
      <c r="H6">
        <v>7.0999999999999994E-2</v>
      </c>
      <c r="I6">
        <v>0.112</v>
      </c>
      <c r="J6">
        <v>8.4000000000000005E-2</v>
      </c>
      <c r="K6">
        <v>8.4000000000000005E-2</v>
      </c>
      <c r="L6">
        <v>0.10100000000000001</v>
      </c>
      <c r="M6">
        <v>9.9000000000000005E-2</v>
      </c>
    </row>
    <row r="7" spans="1:13" x14ac:dyDescent="0.3">
      <c r="A7" t="s">
        <v>17</v>
      </c>
      <c r="B7">
        <v>0.13600000000000001</v>
      </c>
      <c r="C7">
        <v>0.151</v>
      </c>
      <c r="D7">
        <v>8.3000000000000004E-2</v>
      </c>
      <c r="E7">
        <v>9.9000000000000005E-2</v>
      </c>
      <c r="F7">
        <v>0.126</v>
      </c>
      <c r="G7">
        <v>0.12</v>
      </c>
      <c r="H7">
        <v>0.107</v>
      </c>
      <c r="I7">
        <v>7.6999999999999999E-2</v>
      </c>
      <c r="J7">
        <v>6.9000000000000006E-2</v>
      </c>
      <c r="K7">
        <v>7.0000000000000007E-2</v>
      </c>
      <c r="L7">
        <v>0.626</v>
      </c>
      <c r="M7">
        <v>9.6000000000000002E-2</v>
      </c>
    </row>
    <row r="8" spans="1:13" x14ac:dyDescent="0.3">
      <c r="A8" t="s">
        <v>18</v>
      </c>
      <c r="B8">
        <v>0.123</v>
      </c>
      <c r="C8">
        <v>9.6000000000000002E-2</v>
      </c>
      <c r="D8">
        <v>7.4999999999999997E-2</v>
      </c>
      <c r="E8">
        <v>8.2000000000000003E-2</v>
      </c>
      <c r="F8">
        <v>0.106</v>
      </c>
      <c r="G8">
        <v>8.4000000000000005E-2</v>
      </c>
      <c r="H8">
        <v>7.6999999999999999E-2</v>
      </c>
      <c r="I8">
        <v>5.5E-2</v>
      </c>
      <c r="J8">
        <v>4.8000000000000001E-2</v>
      </c>
      <c r="K8">
        <v>6.3E-2</v>
      </c>
      <c r="L8">
        <v>0.35399999999999998</v>
      </c>
      <c r="M8">
        <v>9.8000000000000004E-2</v>
      </c>
    </row>
    <row r="9" spans="1:13" x14ac:dyDescent="0.3">
      <c r="A9" t="s">
        <v>19</v>
      </c>
      <c r="B9">
        <v>0.155</v>
      </c>
      <c r="C9">
        <v>0.17100000000000001</v>
      </c>
      <c r="D9">
        <v>0.106</v>
      </c>
      <c r="E9">
        <v>0.11</v>
      </c>
      <c r="F9">
        <v>0.121</v>
      </c>
      <c r="G9">
        <v>0.11</v>
      </c>
      <c r="H9">
        <v>7.0999999999999994E-2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3">
      <c r="A10" t="s">
        <v>20</v>
      </c>
      <c r="B10">
        <v>0.215</v>
      </c>
      <c r="C10">
        <v>0.22800000000000001</v>
      </c>
      <c r="D10">
        <v>0.10299999999999999</v>
      </c>
      <c r="E10">
        <v>0.12</v>
      </c>
      <c r="F10">
        <v>0.26100000000000001</v>
      </c>
      <c r="G10">
        <v>0.161</v>
      </c>
      <c r="H10">
        <v>0.1</v>
      </c>
      <c r="I10">
        <v>9.4E-2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5.9999999999999915E-3</v>
      </c>
      <c r="C15" s="3">
        <f xml:space="preserve"> C3 - '+0.0 seg'!$C$3</f>
        <v>5.9999999999999915E-3</v>
      </c>
      <c r="D15" s="3">
        <f xml:space="preserve"> D3 - '+0.0 seg'!$D$3</f>
        <v>1.0000000000000009E-2</v>
      </c>
      <c r="E15" s="3">
        <f xml:space="preserve"> E3 - '+0.0 seg'!$E$3</f>
        <v>4.0000000000000036E-3</v>
      </c>
      <c r="F15" s="3">
        <f xml:space="preserve"> F3 - '+0.0 seg'!$F$3</f>
        <v>6.0000000000000053E-3</v>
      </c>
      <c r="G15" s="3">
        <f xml:space="preserve"> G3 - '+0.0 seg'!$G$3</f>
        <v>1.1999999999999997E-2</v>
      </c>
      <c r="H15" s="3">
        <f xml:space="preserve"> H3 - '+0.0 seg'!$H$3</f>
        <v>2.0000000000000018E-3</v>
      </c>
      <c r="I15" s="3">
        <f xml:space="preserve"> I3 - '+0.0 seg'!$I$3</f>
        <v>4.0000000000000036E-3</v>
      </c>
      <c r="J15" s="3">
        <f xml:space="preserve"> J3 - '+0.0 seg'!$J$3</f>
        <v>0</v>
      </c>
      <c r="K15" s="3">
        <f xml:space="preserve"> K3 - '+0.0 seg'!$K$3</f>
        <v>-2.9999999999999957E-3</v>
      </c>
      <c r="L15" s="3">
        <f xml:space="preserve"> L3 - '+0.0 seg'!$L$3</f>
        <v>1.0000000000000009E-3</v>
      </c>
      <c r="M15" s="3">
        <f xml:space="preserve"> M3 - '+0.0 seg'!$M$3</f>
        <v>1.0000000000000009E-3</v>
      </c>
    </row>
    <row r="16" spans="1:13" x14ac:dyDescent="0.3">
      <c r="A16" t="s">
        <v>14</v>
      </c>
      <c r="B16" s="3">
        <f xml:space="preserve"> B4 - '+0.0 seg'!$B$4</f>
        <v>4.0000000000000036E-3</v>
      </c>
      <c r="C16" s="3">
        <f xml:space="preserve"> C4 - '+0.0 seg'!$C$4</f>
        <v>3.9999999999999758E-3</v>
      </c>
      <c r="D16" s="3">
        <f xml:space="preserve"> D4 - '+0.0 seg'!$D$4</f>
        <v>6.0000000000000053E-3</v>
      </c>
      <c r="E16" s="3">
        <f xml:space="preserve"> E4 - '+0.0 seg'!$E$4</f>
        <v>5.9999999999999915E-3</v>
      </c>
      <c r="F16" s="3">
        <f xml:space="preserve"> F4 - '+0.0 seg'!$F$4</f>
        <v>6.0000000000000053E-3</v>
      </c>
      <c r="G16" s="3">
        <f xml:space="preserve"> G4 - '+0.0 seg'!$G$4</f>
        <v>8.0000000000000071E-3</v>
      </c>
      <c r="H16" s="3">
        <f xml:space="preserve"> H4 - '+0.0 seg'!$H$4</f>
        <v>8.0000000000000071E-3</v>
      </c>
      <c r="I16" s="3">
        <f xml:space="preserve"> I4 - '+0.0 seg'!$I$4</f>
        <v>4.0000000000000036E-3</v>
      </c>
      <c r="J16" s="3">
        <f xml:space="preserve"> J4 - '+0.0 seg'!$J$4</f>
        <v>-1.0000000000000009E-3</v>
      </c>
      <c r="K16" s="3">
        <f xml:space="preserve"> K4 - '+0.0 seg'!$K$4</f>
        <v>3.0000000000000027E-3</v>
      </c>
      <c r="L16" s="3">
        <f xml:space="preserve"> L4 - '+0.0 seg'!$L$4</f>
        <v>0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3.0000000000000027E-3</v>
      </c>
      <c r="C17" s="3">
        <f xml:space="preserve"> C5 - '+0.0 seg'!$C$5</f>
        <v>1.100000000000001E-2</v>
      </c>
      <c r="D17" s="3">
        <f xml:space="preserve"> D5 - '+0.0 seg'!$D$5</f>
        <v>5.0000000000000044E-3</v>
      </c>
      <c r="E17" s="3">
        <f xml:space="preserve"> E5 - '+0.0 seg'!$E$5</f>
        <v>0</v>
      </c>
      <c r="F17" s="3">
        <f xml:space="preserve"> F5 - '+0.0 seg'!$F$5</f>
        <v>6.9999999999999923E-3</v>
      </c>
      <c r="G17" s="3">
        <f xml:space="preserve"> G5 - '+0.0 seg'!$G$5</f>
        <v>-5.0000000000000044E-3</v>
      </c>
      <c r="H17" s="3">
        <f xml:space="preserve"> H5 - '+0.0 seg'!$H$5</f>
        <v>5.0000000000000044E-3</v>
      </c>
      <c r="I17" s="3">
        <f xml:space="preserve"> I5 - '+0.0 seg'!$I$5</f>
        <v>-7.0000000000000062E-3</v>
      </c>
      <c r="J17" s="3">
        <f xml:space="preserve"> J5 - '+0.0 seg'!$J$5</f>
        <v>0</v>
      </c>
      <c r="K17" s="3">
        <f xml:space="preserve"> K5 - '+0.0 seg'!$K$5</f>
        <v>0</v>
      </c>
      <c r="L17" s="3">
        <f xml:space="preserve"> L5 - '+0.0 seg'!$L$5</f>
        <v>0</v>
      </c>
      <c r="M17" s="3">
        <f xml:space="preserve"> M5 - '+0.0 seg'!$M$5</f>
        <v>1.0000000000000009E-3</v>
      </c>
    </row>
    <row r="18" spans="1:13" x14ac:dyDescent="0.3">
      <c r="A18" t="s">
        <v>16</v>
      </c>
      <c r="B18" s="3">
        <f xml:space="preserve"> B6 - '+0.0 seg'!$B$6</f>
        <v>8.9999999999999802E-3</v>
      </c>
      <c r="C18" s="3">
        <f xml:space="preserve"> C6 - '+0.0 seg'!$C$6</f>
        <v>1.100000000000001E-2</v>
      </c>
      <c r="D18" s="3">
        <f xml:space="preserve"> D6 - '+0.0 seg'!$D$6</f>
        <v>2.0000000000000018E-3</v>
      </c>
      <c r="E18" s="3">
        <f xml:space="preserve"> E6 - '+0.0 seg'!$E$6</f>
        <v>2.0000000000000018E-3</v>
      </c>
      <c r="F18" s="3">
        <f xml:space="preserve"> F6 - '+0.0 seg'!$F$6</f>
        <v>8.9999999999999941E-3</v>
      </c>
      <c r="G18" s="3">
        <f xml:space="preserve"> G6 - '+0.0 seg'!$G$6</f>
        <v>1.999999999999999E-2</v>
      </c>
      <c r="H18" s="3">
        <f xml:space="preserve"> H6 - '+0.0 seg'!$H$6</f>
        <v>2.9999999999999888E-3</v>
      </c>
      <c r="I18" s="3">
        <f xml:space="preserve"> I6 - '+0.0 seg'!$I$6</f>
        <v>3.0000000000000027E-3</v>
      </c>
      <c r="J18" s="3">
        <f xml:space="preserve"> J6 - '+0.0 seg'!$J$6</f>
        <v>1.0000000000000009E-3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2.0000000000000018E-3</v>
      </c>
    </row>
    <row r="19" spans="1:13" x14ac:dyDescent="0.3">
      <c r="A19" t="s">
        <v>17</v>
      </c>
      <c r="B19" s="3">
        <f xml:space="preserve"> B7 - '+0.0 seg'!$B$7</f>
        <v>2.0000000000000018E-3</v>
      </c>
      <c r="C19" s="3">
        <f xml:space="preserve"> C7 - '+0.0 seg'!$C$7</f>
        <v>0</v>
      </c>
      <c r="D19" s="3">
        <f xml:space="preserve"> D7 - '+0.0 seg'!$D$7</f>
        <v>3.0000000000000027E-3</v>
      </c>
      <c r="E19" s="3">
        <f xml:space="preserve"> E7 - '+0.0 seg'!$E$7</f>
        <v>1.100000000000001E-2</v>
      </c>
      <c r="F19" s="3">
        <f xml:space="preserve"> F7 - '+0.0 seg'!$F$7</f>
        <v>1.3999999999999999E-2</v>
      </c>
      <c r="G19" s="3">
        <f xml:space="preserve"> G7 - '+0.0 seg'!$G$7</f>
        <v>1.7000000000000001E-2</v>
      </c>
      <c r="H19" s="3">
        <f xml:space="preserve"> H7 - '+0.0 seg'!$H$7</f>
        <v>1.2999999999999998E-2</v>
      </c>
      <c r="I19" s="3">
        <f xml:space="preserve"> I7 - '+0.0 seg'!$I$7</f>
        <v>-7.0000000000000062E-3</v>
      </c>
      <c r="J19" s="3">
        <f xml:space="preserve"> J7 - '+0.0 seg'!$J$7</f>
        <v>0</v>
      </c>
      <c r="K19" s="3">
        <f xml:space="preserve"> K7 - '+0.0 seg'!$K$7</f>
        <v>1.0000000000000009E-3</v>
      </c>
      <c r="L19" s="3">
        <f xml:space="preserve"> L7 - '+0.0 seg'!$L$7</f>
        <v>-1.7000000000000015E-2</v>
      </c>
      <c r="M19" s="3">
        <f xml:space="preserve"> M7 - '+0.0 seg'!$M$7</f>
        <v>-1.0000000000000009E-3</v>
      </c>
    </row>
    <row r="20" spans="1:13" x14ac:dyDescent="0.3">
      <c r="A20" t="s">
        <v>18</v>
      </c>
      <c r="B20" s="3">
        <f xml:space="preserve"> B8 - '+0.0 seg'!$B$8</f>
        <v>6.9999999999999923E-3</v>
      </c>
      <c r="C20" s="3">
        <f xml:space="preserve"> C8 - '+0.0 seg'!$C$8</f>
        <v>5.0000000000000044E-3</v>
      </c>
      <c r="D20" s="3">
        <f xml:space="preserve"> D8 - '+0.0 seg'!$D$8</f>
        <v>-4.0000000000000036E-3</v>
      </c>
      <c r="E20" s="3">
        <f xml:space="preserve"> E8 - '+0.0 seg'!$E$8</f>
        <v>7.0000000000000062E-3</v>
      </c>
      <c r="F20" s="3">
        <f xml:space="preserve"> F8 - '+0.0 seg'!$F$8</f>
        <v>9.999999999999995E-3</v>
      </c>
      <c r="G20" s="3">
        <f xml:space="preserve"> G8 - '+0.0 seg'!$G$8</f>
        <v>5.0000000000000044E-3</v>
      </c>
      <c r="H20" s="3">
        <f xml:space="preserve"> H8 - '+0.0 seg'!$H$8</f>
        <v>1.0000000000000009E-3</v>
      </c>
      <c r="I20" s="3">
        <f xml:space="preserve"> I8 - '+0.0 seg'!$I$8</f>
        <v>-3.9999999999999966E-3</v>
      </c>
      <c r="J20" s="3">
        <f xml:space="preserve"> J8 - '+0.0 seg'!$J$8</f>
        <v>-2.9999999999999957E-3</v>
      </c>
      <c r="K20" s="3">
        <f xml:space="preserve"> K8 - '+0.0 seg'!$K$8</f>
        <v>1.0000000000000009E-3</v>
      </c>
      <c r="L20" s="3">
        <f xml:space="preserve"> L8 - '+0.0 seg'!$L$8</f>
        <v>-1.5000000000000013E-2</v>
      </c>
      <c r="M20" s="3">
        <f xml:space="preserve"> M8 - '+0.0 seg'!$M$8</f>
        <v>1.0000000000000009E-3</v>
      </c>
    </row>
    <row r="21" spans="1:13" x14ac:dyDescent="0.3">
      <c r="A21" t="s">
        <v>19</v>
      </c>
      <c r="B21" s="3">
        <f xml:space="preserve"> B9 - '+0.0 seg'!$B$9</f>
        <v>4.0000000000000036E-3</v>
      </c>
      <c r="C21" s="3">
        <f xml:space="preserve"> C9 - '+0.0 seg'!$C$9</f>
        <v>9.000000000000008E-3</v>
      </c>
      <c r="D21" s="3">
        <f xml:space="preserve"> D9 - '+0.0 seg'!$D$9</f>
        <v>5.9999999999999915E-3</v>
      </c>
      <c r="E21" s="3">
        <f xml:space="preserve"> E9 - '+0.0 seg'!$E$9</f>
        <v>5.0000000000000044E-3</v>
      </c>
      <c r="F21" s="3">
        <f xml:space="preserve"> F9 - '+0.0 seg'!$F$9</f>
        <v>4.9999999999999906E-3</v>
      </c>
      <c r="G21" s="3">
        <f xml:space="preserve"> G9 - '+0.0 seg'!$G$9</f>
        <v>1.1999999999999997E-2</v>
      </c>
      <c r="H21" s="3">
        <f xml:space="preserve"> H9 - '+0.0 seg'!$H$9</f>
        <v>9.9999999999998701E-4</v>
      </c>
      <c r="I21" s="3">
        <f xml:space="preserve"> I9 - '+0.0 seg'!$I$9</f>
        <v>0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</row>
    <row r="22" spans="1:13" x14ac:dyDescent="0.3">
      <c r="A22" t="s">
        <v>20</v>
      </c>
      <c r="B22" s="3">
        <f xml:space="preserve"> B10 - '+0.0 seg'!$B$10</f>
        <v>-4.0000000000000036E-3</v>
      </c>
      <c r="C22" s="3">
        <f xml:space="preserve"> C10 - '+0.0 seg'!$C$10</f>
        <v>2.300000000000002E-2</v>
      </c>
      <c r="D22" s="3">
        <f xml:space="preserve"> D10 - '+0.0 seg'!$D$10</f>
        <v>-2.0000000000000018E-3</v>
      </c>
      <c r="E22" s="3">
        <f xml:space="preserve"> E10 - '+0.0 seg'!$E$10</f>
        <v>7.9999999999999932E-3</v>
      </c>
      <c r="F22" s="3">
        <f xml:space="preserve"> F10 - '+0.0 seg'!$F$10</f>
        <v>3.5000000000000003E-2</v>
      </c>
      <c r="G22" s="3">
        <f xml:space="preserve"> G10 - '+0.0 seg'!$G$10</f>
        <v>2.0000000000000018E-3</v>
      </c>
      <c r="H22" s="3">
        <f xml:space="preserve"> H10 - '+0.0 seg'!$H$10</f>
        <v>3.0000000000000027E-3</v>
      </c>
      <c r="I22" s="3">
        <f xml:space="preserve"> I10 - '+0.0 seg'!$I$10</f>
        <v>2.0000000000000018E-3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-2.0000000000000018E-3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5.9999999999999915E-3</v>
      </c>
      <c r="C26" s="3">
        <f>STDEV(B15:C15)</f>
        <v>0</v>
      </c>
      <c r="D26" s="3">
        <f t="shared" ref="D26:L33" si="0">AVERAGE(D15:E15)</f>
        <v>7.0000000000000062E-3</v>
      </c>
      <c r="E26" s="3">
        <f>STDEV(D15:E15)</f>
        <v>4.2426406871192901E-3</v>
      </c>
      <c r="F26" s="3">
        <f t="shared" si="0"/>
        <v>9.0000000000000011E-3</v>
      </c>
      <c r="G26" s="3">
        <f>STDEV(F15:G15)</f>
        <v>4.2426406871192788E-3</v>
      </c>
      <c r="H26" s="3">
        <f t="shared" si="0"/>
        <v>3.0000000000000027E-3</v>
      </c>
      <c r="I26" s="3">
        <f>STDEV(H15:I15)</f>
        <v>1.4142135623730963E-3</v>
      </c>
      <c r="J26" s="3">
        <f t="shared" si="0"/>
        <v>-1.4999999999999979E-3</v>
      </c>
      <c r="K26" s="3">
        <f>STDEV(J15:K15)</f>
        <v>2.1213203435596394E-3</v>
      </c>
      <c r="L26" s="3">
        <f t="shared" ref="L26:M26" si="1">AVERAGE(L15:M15)</f>
        <v>1.0000000000000009E-3</v>
      </c>
      <c r="M26" s="3">
        <f>STDEV(L15:M15)</f>
        <v>0</v>
      </c>
    </row>
    <row r="27" spans="1:13" x14ac:dyDescent="0.3">
      <c r="A27" t="s">
        <v>14</v>
      </c>
      <c r="B27" s="3">
        <f t="shared" ref="B27:B33" si="2">AVERAGE(B16:C16)</f>
        <v>3.9999999999999897E-3</v>
      </c>
      <c r="C27" s="3">
        <f t="shared" ref="C27:E33" si="3">STDEV(B16:C16)</f>
        <v>1.962615573354719E-17</v>
      </c>
      <c r="D27" s="3">
        <f t="shared" si="0"/>
        <v>5.9999999999999984E-3</v>
      </c>
      <c r="E27" s="3">
        <f t="shared" si="3"/>
        <v>9.8130778667735948E-18</v>
      </c>
      <c r="F27" s="3">
        <f t="shared" si="0"/>
        <v>7.0000000000000062E-3</v>
      </c>
      <c r="G27" s="3">
        <f t="shared" ref="G27:G33" si="4">STDEV(F16:G16)</f>
        <v>1.4142135623730963E-3</v>
      </c>
      <c r="H27" s="3">
        <f t="shared" si="0"/>
        <v>6.0000000000000053E-3</v>
      </c>
      <c r="I27" s="3">
        <f t="shared" ref="I27:I33" si="5">STDEV(H16:I16)</f>
        <v>2.8284271247461957E-3</v>
      </c>
      <c r="J27" s="3">
        <f t="shared" si="0"/>
        <v>1.0000000000000009E-3</v>
      </c>
      <c r="K27" s="3">
        <f t="shared" ref="K27:K33" si="6">STDEV(J16:K16)</f>
        <v>2.8284271247461927E-3</v>
      </c>
      <c r="L27" s="3">
        <f t="shared" si="0"/>
        <v>0</v>
      </c>
      <c r="M27" s="3">
        <f t="shared" ref="M27:M33" si="7">STDEV(L16:M16)</f>
        <v>0</v>
      </c>
    </row>
    <row r="28" spans="1:13" x14ac:dyDescent="0.3">
      <c r="A28" t="s">
        <v>15</v>
      </c>
      <c r="B28" s="3">
        <f t="shared" si="2"/>
        <v>7.0000000000000062E-3</v>
      </c>
      <c r="C28" s="3">
        <f t="shared" si="3"/>
        <v>5.6568542494923853E-3</v>
      </c>
      <c r="D28" s="3">
        <f t="shared" si="0"/>
        <v>2.5000000000000022E-3</v>
      </c>
      <c r="E28" s="3">
        <f t="shared" si="3"/>
        <v>3.5355339059327407E-3</v>
      </c>
      <c r="F28" s="3">
        <f t="shared" si="0"/>
        <v>9.9999999999999395E-4</v>
      </c>
      <c r="G28" s="3">
        <f t="shared" si="4"/>
        <v>8.485281374238568E-3</v>
      </c>
      <c r="H28" s="3">
        <f t="shared" si="0"/>
        <v>-1.0000000000000009E-3</v>
      </c>
      <c r="I28" s="3">
        <f t="shared" si="5"/>
        <v>8.4852813742385784E-3</v>
      </c>
      <c r="J28" s="3">
        <f t="shared" si="0"/>
        <v>0</v>
      </c>
      <c r="K28" s="3">
        <f t="shared" si="6"/>
        <v>0</v>
      </c>
      <c r="L28" s="3">
        <f t="shared" si="0"/>
        <v>5.0000000000000044E-4</v>
      </c>
      <c r="M28" s="3">
        <f t="shared" si="7"/>
        <v>7.0710678118654816E-4</v>
      </c>
    </row>
    <row r="29" spans="1:13" x14ac:dyDescent="0.3">
      <c r="A29" t="s">
        <v>16</v>
      </c>
      <c r="B29" s="3">
        <f t="shared" si="2"/>
        <v>9.999999999999995E-3</v>
      </c>
      <c r="C29" s="3">
        <f t="shared" si="3"/>
        <v>1.4142135623731161E-3</v>
      </c>
      <c r="D29" s="3">
        <f t="shared" si="0"/>
        <v>2.0000000000000018E-3</v>
      </c>
      <c r="E29" s="3">
        <f t="shared" si="3"/>
        <v>0</v>
      </c>
      <c r="F29" s="3">
        <f t="shared" si="0"/>
        <v>1.4499999999999992E-2</v>
      </c>
      <c r="G29" s="3">
        <f t="shared" si="4"/>
        <v>7.7781745930520195E-3</v>
      </c>
      <c r="H29" s="3">
        <f t="shared" si="0"/>
        <v>2.9999999999999957E-3</v>
      </c>
      <c r="I29" s="3">
        <f t="shared" si="5"/>
        <v>9.8130778667735948E-18</v>
      </c>
      <c r="J29" s="3">
        <f t="shared" si="0"/>
        <v>5.0000000000000044E-4</v>
      </c>
      <c r="K29" s="3">
        <f t="shared" si="6"/>
        <v>7.0710678118654816E-4</v>
      </c>
      <c r="L29" s="3">
        <f t="shared" si="0"/>
        <v>1.0000000000000009E-3</v>
      </c>
      <c r="M29" s="3">
        <f t="shared" si="7"/>
        <v>1.4142135623730963E-3</v>
      </c>
    </row>
    <row r="30" spans="1:13" x14ac:dyDescent="0.3">
      <c r="A30" t="s">
        <v>17</v>
      </c>
      <c r="B30" s="3">
        <f t="shared" si="2"/>
        <v>1.0000000000000009E-3</v>
      </c>
      <c r="C30" s="3">
        <f t="shared" si="3"/>
        <v>1.4142135623730963E-3</v>
      </c>
      <c r="D30" s="3">
        <f t="shared" si="0"/>
        <v>7.0000000000000062E-3</v>
      </c>
      <c r="E30" s="3">
        <f t="shared" si="3"/>
        <v>5.6568542494923853E-3</v>
      </c>
      <c r="F30" s="3">
        <f t="shared" si="0"/>
        <v>1.55E-2</v>
      </c>
      <c r="G30" s="3">
        <f t="shared" si="4"/>
        <v>2.1213203435596446E-3</v>
      </c>
      <c r="H30" s="3">
        <f t="shared" si="0"/>
        <v>2.9999999999999957E-3</v>
      </c>
      <c r="I30" s="3">
        <f t="shared" si="5"/>
        <v>1.4142135623730952E-2</v>
      </c>
      <c r="J30" s="3">
        <f t="shared" si="0"/>
        <v>5.0000000000000044E-4</v>
      </c>
      <c r="K30" s="3">
        <f t="shared" si="6"/>
        <v>7.0710678118654816E-4</v>
      </c>
      <c r="L30" s="3">
        <f t="shared" si="0"/>
        <v>-9.000000000000008E-3</v>
      </c>
      <c r="M30" s="3">
        <f t="shared" si="7"/>
        <v>1.1313708498984772E-2</v>
      </c>
    </row>
    <row r="31" spans="1:13" x14ac:dyDescent="0.3">
      <c r="A31" t="s">
        <v>18</v>
      </c>
      <c r="B31" s="3">
        <f t="shared" si="2"/>
        <v>5.9999999999999984E-3</v>
      </c>
      <c r="C31" s="3">
        <f t="shared" si="3"/>
        <v>1.4142135623730866E-3</v>
      </c>
      <c r="D31" s="3">
        <f t="shared" si="0"/>
        <v>1.5000000000000013E-3</v>
      </c>
      <c r="E31" s="3">
        <f t="shared" si="3"/>
        <v>7.7781745930520299E-3</v>
      </c>
      <c r="F31" s="3">
        <f t="shared" si="0"/>
        <v>7.4999999999999997E-3</v>
      </c>
      <c r="G31" s="3">
        <f t="shared" si="4"/>
        <v>3.5355339059327307E-3</v>
      </c>
      <c r="H31" s="3">
        <f t="shared" si="0"/>
        <v>-1.4999999999999979E-3</v>
      </c>
      <c r="I31" s="3">
        <f t="shared" si="5"/>
        <v>3.5355339059327355E-3</v>
      </c>
      <c r="J31" s="3">
        <f t="shared" si="0"/>
        <v>-9.9999999999999742E-4</v>
      </c>
      <c r="K31" s="3">
        <f t="shared" si="6"/>
        <v>2.8284271247461879E-3</v>
      </c>
      <c r="L31" s="3">
        <f t="shared" si="0"/>
        <v>-7.0000000000000062E-3</v>
      </c>
      <c r="M31" s="3">
        <f t="shared" si="7"/>
        <v>1.1313708498984771E-2</v>
      </c>
    </row>
    <row r="32" spans="1:13" x14ac:dyDescent="0.3">
      <c r="A32" t="s">
        <v>19</v>
      </c>
      <c r="B32" s="3">
        <f t="shared" si="2"/>
        <v>6.5000000000000058E-3</v>
      </c>
      <c r="C32" s="3">
        <f t="shared" si="3"/>
        <v>3.5355339059327385E-3</v>
      </c>
      <c r="D32" s="3">
        <f t="shared" si="0"/>
        <v>5.4999999999999979E-3</v>
      </c>
      <c r="E32" s="3">
        <f t="shared" si="3"/>
        <v>7.0710678118653841E-4</v>
      </c>
      <c r="F32" s="3">
        <f t="shared" si="0"/>
        <v>8.4999999999999937E-3</v>
      </c>
      <c r="G32" s="3">
        <f t="shared" si="4"/>
        <v>4.9497474683058377E-3</v>
      </c>
      <c r="H32" s="3">
        <f t="shared" si="0"/>
        <v>4.9999999999999351E-4</v>
      </c>
      <c r="I32" s="3">
        <f t="shared" si="5"/>
        <v>7.0710678118653841E-4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0</v>
      </c>
      <c r="M32" s="3">
        <f t="shared" si="7"/>
        <v>0</v>
      </c>
    </row>
    <row r="33" spans="1:13" x14ac:dyDescent="0.3">
      <c r="A33" t="s">
        <v>20</v>
      </c>
      <c r="B33" s="3">
        <f t="shared" si="2"/>
        <v>9.5000000000000084E-3</v>
      </c>
      <c r="C33" s="3">
        <f t="shared" si="3"/>
        <v>1.9091883092036802E-2</v>
      </c>
      <c r="D33" s="3">
        <f t="shared" si="0"/>
        <v>2.9999999999999957E-3</v>
      </c>
      <c r="E33" s="3">
        <f t="shared" si="3"/>
        <v>7.071067811865471E-3</v>
      </c>
      <c r="F33" s="3">
        <f t="shared" si="0"/>
        <v>1.8500000000000003E-2</v>
      </c>
      <c r="G33" s="3">
        <f t="shared" si="4"/>
        <v>2.3334523779156069E-2</v>
      </c>
      <c r="H33" s="3">
        <f t="shared" si="0"/>
        <v>2.5000000000000022E-3</v>
      </c>
      <c r="I33" s="3">
        <f t="shared" si="5"/>
        <v>7.0710678118654816E-4</v>
      </c>
      <c r="J33" s="3">
        <f t="shared" si="0"/>
        <v>0</v>
      </c>
      <c r="K33" s="3">
        <f t="shared" si="6"/>
        <v>0</v>
      </c>
      <c r="L33" s="3">
        <f t="shared" si="0"/>
        <v>-1.0000000000000009E-3</v>
      </c>
      <c r="M33" s="3">
        <f t="shared" si="7"/>
        <v>1.4142135623730963E-3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3"/>
  <sheetViews>
    <sheetView workbookViewId="0">
      <selection activeCell="A25" sqref="A25:M33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0.10299999999999999</v>
      </c>
      <c r="C3">
        <v>9.0999999999999998E-2</v>
      </c>
      <c r="D3">
        <v>8.3000000000000004E-2</v>
      </c>
      <c r="E3">
        <v>9.7000000000000003E-2</v>
      </c>
      <c r="F3">
        <v>0.154</v>
      </c>
      <c r="G3">
        <v>0.129</v>
      </c>
      <c r="H3">
        <v>8.5000000000000006E-2</v>
      </c>
      <c r="I3">
        <v>6.5000000000000002E-2</v>
      </c>
      <c r="J3">
        <v>5.0999999999999997E-2</v>
      </c>
      <c r="K3">
        <v>4.9000000000000002E-2</v>
      </c>
      <c r="L3">
        <v>0.121</v>
      </c>
      <c r="M3">
        <v>9.2999999999999999E-2</v>
      </c>
    </row>
    <row r="4" spans="1:13" x14ac:dyDescent="0.3">
      <c r="A4" t="s">
        <v>14</v>
      </c>
      <c r="B4">
        <v>0.13900000000000001</v>
      </c>
      <c r="C4">
        <v>0.14399999999999999</v>
      </c>
      <c r="D4">
        <v>0.08</v>
      </c>
      <c r="E4">
        <v>9.0999999999999998E-2</v>
      </c>
      <c r="F4">
        <v>0.153</v>
      </c>
      <c r="G4">
        <v>0.13500000000000001</v>
      </c>
      <c r="H4">
        <v>9.9000000000000005E-2</v>
      </c>
      <c r="I4">
        <v>9.6000000000000002E-2</v>
      </c>
      <c r="J4">
        <v>6.2E-2</v>
      </c>
      <c r="K4">
        <v>5.5E-2</v>
      </c>
      <c r="L4">
        <v>9.4E-2</v>
      </c>
      <c r="M4">
        <v>0.111</v>
      </c>
    </row>
    <row r="5" spans="1:13" x14ac:dyDescent="0.3">
      <c r="A5" t="s">
        <v>15</v>
      </c>
      <c r="B5">
        <v>0.14499999999999999</v>
      </c>
      <c r="C5">
        <v>0.153</v>
      </c>
      <c r="D5">
        <v>8.5999999999999993E-2</v>
      </c>
      <c r="E5">
        <v>8.1000000000000003E-2</v>
      </c>
      <c r="F5">
        <v>0.108</v>
      </c>
      <c r="G5">
        <v>0.112</v>
      </c>
      <c r="H5">
        <v>8.1000000000000003E-2</v>
      </c>
      <c r="I5">
        <v>6.2E-2</v>
      </c>
      <c r="J5">
        <v>9.4E-2</v>
      </c>
      <c r="K5">
        <v>0.11799999999999999</v>
      </c>
      <c r="L5">
        <v>0.114</v>
      </c>
      <c r="M5">
        <v>0.108</v>
      </c>
    </row>
    <row r="6" spans="1:13" x14ac:dyDescent="0.3">
      <c r="A6" t="s">
        <v>16</v>
      </c>
      <c r="B6">
        <v>0.18099999999999999</v>
      </c>
      <c r="C6">
        <v>0.19400000000000001</v>
      </c>
      <c r="D6">
        <v>8.4000000000000005E-2</v>
      </c>
      <c r="E6">
        <v>9.2999999999999999E-2</v>
      </c>
      <c r="F6">
        <v>0.127</v>
      </c>
      <c r="G6">
        <v>0.221</v>
      </c>
      <c r="H6">
        <v>7.0999999999999994E-2</v>
      </c>
      <c r="I6">
        <v>0.112</v>
      </c>
      <c r="J6">
        <v>8.4000000000000005E-2</v>
      </c>
      <c r="K6">
        <v>8.4000000000000005E-2</v>
      </c>
      <c r="L6">
        <v>0.10100000000000001</v>
      </c>
      <c r="M6">
        <v>9.9000000000000005E-2</v>
      </c>
    </row>
    <row r="7" spans="1:13" x14ac:dyDescent="0.3">
      <c r="A7" t="s">
        <v>17</v>
      </c>
      <c r="B7">
        <v>0.13600000000000001</v>
      </c>
      <c r="C7">
        <v>0.14799999999999999</v>
      </c>
      <c r="D7">
        <v>8.3000000000000004E-2</v>
      </c>
      <c r="E7">
        <v>9.9000000000000005E-2</v>
      </c>
      <c r="F7">
        <v>0.124</v>
      </c>
      <c r="G7">
        <v>0.121</v>
      </c>
      <c r="H7">
        <v>0.107</v>
      </c>
      <c r="I7">
        <v>7.8E-2</v>
      </c>
      <c r="J7">
        <v>6.9000000000000006E-2</v>
      </c>
      <c r="K7">
        <v>7.0999999999999994E-2</v>
      </c>
      <c r="L7">
        <v>0.63600000000000001</v>
      </c>
      <c r="M7">
        <v>9.6000000000000002E-2</v>
      </c>
    </row>
    <row r="8" spans="1:13" x14ac:dyDescent="0.3">
      <c r="A8" t="s">
        <v>18</v>
      </c>
      <c r="B8">
        <v>0.123</v>
      </c>
      <c r="C8">
        <v>9.5000000000000001E-2</v>
      </c>
      <c r="D8">
        <v>7.5999999999999998E-2</v>
      </c>
      <c r="E8">
        <v>8.3000000000000004E-2</v>
      </c>
      <c r="F8">
        <v>0.107</v>
      </c>
      <c r="G8">
        <v>8.5000000000000006E-2</v>
      </c>
      <c r="H8">
        <v>7.5999999999999998E-2</v>
      </c>
      <c r="I8">
        <v>5.6000000000000001E-2</v>
      </c>
      <c r="J8">
        <v>4.9000000000000002E-2</v>
      </c>
      <c r="K8">
        <v>6.3E-2</v>
      </c>
      <c r="L8">
        <v>0.35699999999999998</v>
      </c>
      <c r="M8">
        <v>9.8000000000000004E-2</v>
      </c>
    </row>
    <row r="9" spans="1:13" x14ac:dyDescent="0.3">
      <c r="A9" t="s">
        <v>19</v>
      </c>
      <c r="B9">
        <v>0.154</v>
      </c>
      <c r="C9">
        <v>0.17100000000000001</v>
      </c>
      <c r="D9">
        <v>0.105</v>
      </c>
      <c r="E9">
        <v>0.111</v>
      </c>
      <c r="F9">
        <v>0.122</v>
      </c>
      <c r="G9">
        <v>0.111</v>
      </c>
      <c r="H9">
        <v>7.0999999999999994E-2</v>
      </c>
      <c r="I9">
        <v>7.3999999999999996E-2</v>
      </c>
      <c r="J9">
        <v>0.11600000000000001</v>
      </c>
      <c r="K9">
        <v>0.115</v>
      </c>
      <c r="L9">
        <v>0.104</v>
      </c>
      <c r="M9">
        <v>0.13400000000000001</v>
      </c>
    </row>
    <row r="10" spans="1:13" x14ac:dyDescent="0.3">
      <c r="A10" t="s">
        <v>20</v>
      </c>
      <c r="B10">
        <v>0.214</v>
      </c>
      <c r="C10">
        <v>0.22800000000000001</v>
      </c>
      <c r="D10">
        <v>0.10299999999999999</v>
      </c>
      <c r="E10">
        <v>0.12</v>
      </c>
      <c r="F10">
        <v>0.26300000000000001</v>
      </c>
      <c r="G10">
        <v>0.16</v>
      </c>
      <c r="H10">
        <v>9.9000000000000005E-2</v>
      </c>
      <c r="I10">
        <v>9.4E-2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4.9999999999999906E-3</v>
      </c>
      <c r="C15" s="3">
        <f xml:space="preserve"> C3 - '+0.0 seg'!$C$3</f>
        <v>5.9999999999999915E-3</v>
      </c>
      <c r="D15" s="3">
        <f xml:space="preserve"> D3 - '+0.0 seg'!$D$3</f>
        <v>1.0000000000000009E-2</v>
      </c>
      <c r="E15" s="3">
        <f xml:space="preserve"> E3 - '+0.0 seg'!$E$3</f>
        <v>1.0000000000000009E-2</v>
      </c>
      <c r="F15" s="3">
        <f xml:space="preserve"> F3 - '+0.0 seg'!$F$3</f>
        <v>7.0000000000000062E-3</v>
      </c>
      <c r="G15" s="3">
        <f xml:space="preserve"> G3 - '+0.0 seg'!$G$3</f>
        <v>1.3999999999999999E-2</v>
      </c>
      <c r="H15" s="3">
        <f xml:space="preserve"> H3 - '+0.0 seg'!$H$3</f>
        <v>2.0000000000000018E-3</v>
      </c>
      <c r="I15" s="3">
        <f xml:space="preserve"> I3 - '+0.0 seg'!$I$3</f>
        <v>4.0000000000000036E-3</v>
      </c>
      <c r="J15" s="3">
        <f xml:space="preserve"> J3 - '+0.0 seg'!$J$3</f>
        <v>0</v>
      </c>
      <c r="K15" s="3">
        <f xml:space="preserve"> K3 - '+0.0 seg'!$K$3</f>
        <v>-2.9999999999999957E-3</v>
      </c>
      <c r="L15" s="3">
        <f xml:space="preserve"> L3 - '+0.0 seg'!$L$3</f>
        <v>1.0000000000000009E-3</v>
      </c>
      <c r="M15" s="3">
        <f xml:space="preserve"> M3 - '+0.0 seg'!$M$3</f>
        <v>1.0000000000000009E-3</v>
      </c>
    </row>
    <row r="16" spans="1:13" x14ac:dyDescent="0.3">
      <c r="A16" t="s">
        <v>14</v>
      </c>
      <c r="B16" s="3">
        <f xml:space="preserve"> B4 - '+0.0 seg'!$B$4</f>
        <v>1.100000000000001E-2</v>
      </c>
      <c r="C16" s="3">
        <f xml:space="preserve"> C4 - '+0.0 seg'!$C$4</f>
        <v>3.9999999999999758E-3</v>
      </c>
      <c r="D16" s="3">
        <f xml:space="preserve"> D4 - '+0.0 seg'!$D$4</f>
        <v>4.0000000000000036E-3</v>
      </c>
      <c r="E16" s="3">
        <f xml:space="preserve"> E4 - '+0.0 seg'!$E$4</f>
        <v>6.9999999999999923E-3</v>
      </c>
      <c r="F16" s="3">
        <f xml:space="preserve"> F4 - '+0.0 seg'!$F$4</f>
        <v>7.0000000000000062E-3</v>
      </c>
      <c r="G16" s="3">
        <f xml:space="preserve"> G4 - '+0.0 seg'!$G$4</f>
        <v>8.0000000000000071E-3</v>
      </c>
      <c r="H16" s="3">
        <f xml:space="preserve"> H4 - '+0.0 seg'!$H$4</f>
        <v>8.0000000000000071E-3</v>
      </c>
      <c r="I16" s="3">
        <f xml:space="preserve"> I4 - '+0.0 seg'!$I$4</f>
        <v>4.0000000000000036E-3</v>
      </c>
      <c r="J16" s="3">
        <f xml:space="preserve"> J4 - '+0.0 seg'!$J$4</f>
        <v>0</v>
      </c>
      <c r="K16" s="3">
        <f xml:space="preserve"> K4 - '+0.0 seg'!$K$4</f>
        <v>3.0000000000000027E-3</v>
      </c>
      <c r="L16" s="3">
        <f xml:space="preserve"> L4 - '+0.0 seg'!$L$4</f>
        <v>0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4.0000000000000036E-3</v>
      </c>
      <c r="C17" s="3">
        <f xml:space="preserve"> C5 - '+0.0 seg'!$C$5</f>
        <v>1.100000000000001E-2</v>
      </c>
      <c r="D17" s="3">
        <f xml:space="preserve"> D5 - '+0.0 seg'!$D$5</f>
        <v>5.9999999999999915E-3</v>
      </c>
      <c r="E17" s="3">
        <f xml:space="preserve"> E5 - '+0.0 seg'!$E$5</f>
        <v>1.0000000000000009E-3</v>
      </c>
      <c r="F17" s="3">
        <f xml:space="preserve"> F5 - '+0.0 seg'!$F$5</f>
        <v>6.9999999999999923E-3</v>
      </c>
      <c r="G17" s="3">
        <f xml:space="preserve"> G5 - '+0.0 seg'!$G$5</f>
        <v>-4.0000000000000036E-3</v>
      </c>
      <c r="H17" s="3">
        <f xml:space="preserve"> H5 - '+0.0 seg'!$H$5</f>
        <v>6.0000000000000053E-3</v>
      </c>
      <c r="I17" s="3">
        <f xml:space="preserve"> I5 - '+0.0 seg'!$I$5</f>
        <v>-7.0000000000000062E-3</v>
      </c>
      <c r="J17" s="3">
        <f xml:space="preserve"> J5 - '+0.0 seg'!$J$5</f>
        <v>0</v>
      </c>
      <c r="K17" s="3">
        <f xml:space="preserve"> K5 - '+0.0 seg'!$K$5</f>
        <v>0</v>
      </c>
      <c r="L17" s="3">
        <f xml:space="preserve"> L5 - '+0.0 seg'!$L$5</f>
        <v>0</v>
      </c>
      <c r="M17" s="3">
        <f xml:space="preserve"> M5 - '+0.0 seg'!$M$5</f>
        <v>1.0000000000000009E-3</v>
      </c>
    </row>
    <row r="18" spans="1:13" x14ac:dyDescent="0.3">
      <c r="A18" t="s">
        <v>16</v>
      </c>
      <c r="B18" s="3">
        <f xml:space="preserve"> B6 - '+0.0 seg'!$B$6</f>
        <v>9.9999999999999811E-3</v>
      </c>
      <c r="C18" s="3">
        <f xml:space="preserve"> C6 - '+0.0 seg'!$C$6</f>
        <v>1.0000000000000009E-2</v>
      </c>
      <c r="D18" s="3">
        <f xml:space="preserve"> D6 - '+0.0 seg'!$D$6</f>
        <v>2.0000000000000018E-3</v>
      </c>
      <c r="E18" s="3">
        <f xml:space="preserve"> E6 - '+0.0 seg'!$E$6</f>
        <v>2.0000000000000018E-3</v>
      </c>
      <c r="F18" s="3">
        <f xml:space="preserve"> F6 - '+0.0 seg'!$F$6</f>
        <v>9.999999999999995E-3</v>
      </c>
      <c r="G18" s="3">
        <f xml:space="preserve"> G6 - '+0.0 seg'!$G$6</f>
        <v>2.1999999999999992E-2</v>
      </c>
      <c r="H18" s="3">
        <f xml:space="preserve"> H6 - '+0.0 seg'!$H$6</f>
        <v>2.9999999999999888E-3</v>
      </c>
      <c r="I18" s="3">
        <f xml:space="preserve"> I6 - '+0.0 seg'!$I$6</f>
        <v>3.0000000000000027E-3</v>
      </c>
      <c r="J18" s="3">
        <f xml:space="preserve"> J6 - '+0.0 seg'!$J$6</f>
        <v>1.0000000000000009E-3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2.0000000000000018E-3</v>
      </c>
    </row>
    <row r="19" spans="1:13" x14ac:dyDescent="0.3">
      <c r="A19" t="s">
        <v>17</v>
      </c>
      <c r="B19" s="3">
        <f xml:space="preserve"> B7 - '+0.0 seg'!$B$7</f>
        <v>2.0000000000000018E-3</v>
      </c>
      <c r="C19" s="3">
        <f xml:space="preserve"> C7 - '+0.0 seg'!$C$7</f>
        <v>-3.0000000000000027E-3</v>
      </c>
      <c r="D19" s="3">
        <f xml:space="preserve"> D7 - '+0.0 seg'!$D$7</f>
        <v>3.0000000000000027E-3</v>
      </c>
      <c r="E19" s="3">
        <f xml:space="preserve"> E7 - '+0.0 seg'!$E$7</f>
        <v>1.100000000000001E-2</v>
      </c>
      <c r="F19" s="3">
        <f xml:space="preserve"> F7 - '+0.0 seg'!$F$7</f>
        <v>1.1999999999999997E-2</v>
      </c>
      <c r="G19" s="3">
        <f xml:space="preserve"> G7 - '+0.0 seg'!$G$7</f>
        <v>1.8000000000000002E-2</v>
      </c>
      <c r="H19" s="3">
        <f xml:space="preserve"> H7 - '+0.0 seg'!$H$7</f>
        <v>1.2999999999999998E-2</v>
      </c>
      <c r="I19" s="3">
        <f xml:space="preserve"> I7 - '+0.0 seg'!$I$7</f>
        <v>-6.0000000000000053E-3</v>
      </c>
      <c r="J19" s="3">
        <f xml:space="preserve"> J7 - '+0.0 seg'!$J$7</f>
        <v>0</v>
      </c>
      <c r="K19" s="3">
        <f xml:space="preserve"> K7 - '+0.0 seg'!$K$7</f>
        <v>1.9999999999999879E-3</v>
      </c>
      <c r="L19" s="3">
        <f xml:space="preserve"> L7 - '+0.0 seg'!$L$7</f>
        <v>-7.0000000000000062E-3</v>
      </c>
      <c r="M19" s="3">
        <f xml:space="preserve"> M7 - '+0.0 seg'!$M$7</f>
        <v>-1.0000000000000009E-3</v>
      </c>
    </row>
    <row r="20" spans="1:13" x14ac:dyDescent="0.3">
      <c r="A20" t="s">
        <v>18</v>
      </c>
      <c r="B20" s="3">
        <f xml:space="preserve"> B8 - '+0.0 seg'!$B$8</f>
        <v>6.9999999999999923E-3</v>
      </c>
      <c r="C20" s="3">
        <f xml:space="preserve"> C8 - '+0.0 seg'!$C$8</f>
        <v>4.0000000000000036E-3</v>
      </c>
      <c r="D20" s="3">
        <f xml:space="preserve"> D8 - '+0.0 seg'!$D$8</f>
        <v>-3.0000000000000027E-3</v>
      </c>
      <c r="E20" s="3">
        <f xml:space="preserve"> E8 - '+0.0 seg'!$E$8</f>
        <v>8.0000000000000071E-3</v>
      </c>
      <c r="F20" s="3">
        <f xml:space="preserve"> F8 - '+0.0 seg'!$F$8</f>
        <v>1.0999999999999996E-2</v>
      </c>
      <c r="G20" s="3">
        <f xml:space="preserve"> G8 - '+0.0 seg'!$G$8</f>
        <v>6.0000000000000053E-3</v>
      </c>
      <c r="H20" s="3">
        <f xml:space="preserve"> H8 - '+0.0 seg'!$H$8</f>
        <v>0</v>
      </c>
      <c r="I20" s="3">
        <f xml:space="preserve"> I8 - '+0.0 seg'!$I$8</f>
        <v>-2.9999999999999957E-3</v>
      </c>
      <c r="J20" s="3">
        <f xml:space="preserve"> J8 - '+0.0 seg'!$J$8</f>
        <v>-1.9999999999999948E-3</v>
      </c>
      <c r="K20" s="3">
        <f xml:space="preserve"> K8 - '+0.0 seg'!$K$8</f>
        <v>1.0000000000000009E-3</v>
      </c>
      <c r="L20" s="3">
        <f xml:space="preserve"> L8 - '+0.0 seg'!$L$8</f>
        <v>-1.2000000000000011E-2</v>
      </c>
      <c r="M20" s="3">
        <f xml:space="preserve"> M8 - '+0.0 seg'!$M$8</f>
        <v>1.0000000000000009E-3</v>
      </c>
    </row>
    <row r="21" spans="1:13" x14ac:dyDescent="0.3">
      <c r="A21" t="s">
        <v>19</v>
      </c>
      <c r="B21" s="3">
        <f xml:space="preserve"> B9 - '+0.0 seg'!$B$9</f>
        <v>3.0000000000000027E-3</v>
      </c>
      <c r="C21" s="3">
        <f xml:space="preserve"> C9 - '+0.0 seg'!$C$9</f>
        <v>9.000000000000008E-3</v>
      </c>
      <c r="D21" s="3">
        <f xml:space="preserve"> D9 - '+0.0 seg'!$D$9</f>
        <v>4.9999999999999906E-3</v>
      </c>
      <c r="E21" s="3">
        <f xml:space="preserve"> E9 - '+0.0 seg'!$E$9</f>
        <v>6.0000000000000053E-3</v>
      </c>
      <c r="F21" s="3">
        <f xml:space="preserve"> F9 - '+0.0 seg'!$F$9</f>
        <v>5.9999999999999915E-3</v>
      </c>
      <c r="G21" s="3">
        <f xml:space="preserve"> G9 - '+0.0 seg'!$G$9</f>
        <v>1.2999999999999998E-2</v>
      </c>
      <c r="H21" s="3">
        <f xml:space="preserve"> H9 - '+0.0 seg'!$H$9</f>
        <v>9.9999999999998701E-4</v>
      </c>
      <c r="I21" s="3">
        <f xml:space="preserve"> I9 - '+0.0 seg'!$I$9</f>
        <v>0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1.0000000000000009E-3</v>
      </c>
    </row>
    <row r="22" spans="1:13" x14ac:dyDescent="0.3">
      <c r="A22" t="s">
        <v>20</v>
      </c>
      <c r="B22" s="3">
        <f xml:space="preserve"> B10 - '+0.0 seg'!$B$10</f>
        <v>-5.0000000000000044E-3</v>
      </c>
      <c r="C22" s="3">
        <f xml:space="preserve"> C10 - '+0.0 seg'!$C$10</f>
        <v>2.300000000000002E-2</v>
      </c>
      <c r="D22" s="3">
        <f xml:space="preserve"> D10 - '+0.0 seg'!$D$10</f>
        <v>-2.0000000000000018E-3</v>
      </c>
      <c r="E22" s="3">
        <f xml:space="preserve"> E10 - '+0.0 seg'!$E$10</f>
        <v>7.9999999999999932E-3</v>
      </c>
      <c r="F22" s="3">
        <f xml:space="preserve"> F10 - '+0.0 seg'!$F$10</f>
        <v>3.7000000000000005E-2</v>
      </c>
      <c r="G22" s="3">
        <f xml:space="preserve"> G10 - '+0.0 seg'!$G$10</f>
        <v>1.0000000000000009E-3</v>
      </c>
      <c r="H22" s="3">
        <f xml:space="preserve"> H10 - '+0.0 seg'!$H$10</f>
        <v>2.0000000000000018E-3</v>
      </c>
      <c r="I22" s="3">
        <f xml:space="preserve"> I10 - '+0.0 seg'!$I$10</f>
        <v>2.0000000000000018E-3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-2.0000000000000018E-3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5.499999999999991E-3</v>
      </c>
      <c r="C26" s="3">
        <f>STDEV(B15:C15)</f>
        <v>7.0710678118654816E-4</v>
      </c>
      <c r="D26" s="3">
        <f t="shared" ref="D26:L33" si="0">AVERAGE(D15:E15)</f>
        <v>1.0000000000000009E-2</v>
      </c>
      <c r="E26" s="3">
        <f>STDEV(D15:E15)</f>
        <v>0</v>
      </c>
      <c r="F26" s="3">
        <f t="shared" si="0"/>
        <v>1.0500000000000002E-2</v>
      </c>
      <c r="G26" s="3">
        <f>STDEV(F15:G15)</f>
        <v>4.9497474683058273E-3</v>
      </c>
      <c r="H26" s="3">
        <f t="shared" si="0"/>
        <v>3.0000000000000027E-3</v>
      </c>
      <c r="I26" s="3">
        <f>STDEV(H15:I15)</f>
        <v>1.4142135623730963E-3</v>
      </c>
      <c r="J26" s="3">
        <f t="shared" si="0"/>
        <v>-1.4999999999999979E-3</v>
      </c>
      <c r="K26" s="3">
        <f>STDEV(J15:K15)</f>
        <v>2.1213203435596394E-3</v>
      </c>
      <c r="L26" s="3">
        <f t="shared" ref="L26:M26" si="1">AVERAGE(L15:M15)</f>
        <v>1.0000000000000009E-3</v>
      </c>
      <c r="M26" s="3">
        <f>STDEV(L15:M15)</f>
        <v>0</v>
      </c>
    </row>
    <row r="27" spans="1:13" x14ac:dyDescent="0.3">
      <c r="A27" t="s">
        <v>14</v>
      </c>
      <c r="B27" s="3">
        <f t="shared" ref="B27:B33" si="2">AVERAGE(B16:C16)</f>
        <v>7.4999999999999928E-3</v>
      </c>
      <c r="C27" s="3">
        <f t="shared" ref="C27:E33" si="3">STDEV(B16:C16)</f>
        <v>4.9497474683058576E-3</v>
      </c>
      <c r="D27" s="3">
        <f t="shared" si="0"/>
        <v>5.4999999999999979E-3</v>
      </c>
      <c r="E27" s="3">
        <f t="shared" si="3"/>
        <v>2.1213203435596346E-3</v>
      </c>
      <c r="F27" s="3">
        <f t="shared" si="0"/>
        <v>7.5000000000000067E-3</v>
      </c>
      <c r="G27" s="3">
        <f t="shared" ref="G27:G33" si="4">STDEV(F16:G16)</f>
        <v>7.0710678118654816E-4</v>
      </c>
      <c r="H27" s="3">
        <f t="shared" si="0"/>
        <v>6.0000000000000053E-3</v>
      </c>
      <c r="I27" s="3">
        <f t="shared" ref="I27:I33" si="5">STDEV(H16:I16)</f>
        <v>2.8284271247461957E-3</v>
      </c>
      <c r="J27" s="3">
        <f t="shared" si="0"/>
        <v>1.5000000000000013E-3</v>
      </c>
      <c r="K27" s="3">
        <f t="shared" ref="K27:K33" si="6">STDEV(J16:K16)</f>
        <v>2.1213203435596446E-3</v>
      </c>
      <c r="L27" s="3">
        <f t="shared" si="0"/>
        <v>0</v>
      </c>
      <c r="M27" s="3">
        <f t="shared" ref="M27:M33" si="7">STDEV(L16:M16)</f>
        <v>0</v>
      </c>
    </row>
    <row r="28" spans="1:13" x14ac:dyDescent="0.3">
      <c r="A28" t="s">
        <v>15</v>
      </c>
      <c r="B28" s="3">
        <f t="shared" si="2"/>
        <v>7.5000000000000067E-3</v>
      </c>
      <c r="C28" s="3">
        <f t="shared" si="3"/>
        <v>4.9497474683058368E-3</v>
      </c>
      <c r="D28" s="3">
        <f t="shared" si="0"/>
        <v>3.4999999999999962E-3</v>
      </c>
      <c r="E28" s="3">
        <f t="shared" si="3"/>
        <v>3.5355339059327316E-3</v>
      </c>
      <c r="F28" s="3">
        <f t="shared" si="0"/>
        <v>1.4999999999999944E-3</v>
      </c>
      <c r="G28" s="3">
        <f t="shared" si="4"/>
        <v>7.7781745930520204E-3</v>
      </c>
      <c r="H28" s="3">
        <f t="shared" si="0"/>
        <v>-5.0000000000000044E-4</v>
      </c>
      <c r="I28" s="3">
        <f t="shared" si="5"/>
        <v>9.1923881554251251E-3</v>
      </c>
      <c r="J28" s="3">
        <f t="shared" si="0"/>
        <v>0</v>
      </c>
      <c r="K28" s="3">
        <f t="shared" si="6"/>
        <v>0</v>
      </c>
      <c r="L28" s="3">
        <f t="shared" si="0"/>
        <v>5.0000000000000044E-4</v>
      </c>
      <c r="M28" s="3">
        <f t="shared" si="7"/>
        <v>7.0710678118654816E-4</v>
      </c>
    </row>
    <row r="29" spans="1:13" x14ac:dyDescent="0.3">
      <c r="A29" t="s">
        <v>16</v>
      </c>
      <c r="B29" s="3">
        <f t="shared" si="2"/>
        <v>9.999999999999995E-3</v>
      </c>
      <c r="C29" s="3">
        <f t="shared" si="3"/>
        <v>1.962615573354719E-17</v>
      </c>
      <c r="D29" s="3">
        <f t="shared" si="0"/>
        <v>2.0000000000000018E-3</v>
      </c>
      <c r="E29" s="3">
        <f t="shared" si="3"/>
        <v>0</v>
      </c>
      <c r="F29" s="3">
        <f t="shared" si="0"/>
        <v>1.5999999999999993E-2</v>
      </c>
      <c r="G29" s="3">
        <f t="shared" si="4"/>
        <v>8.4852813742385715E-3</v>
      </c>
      <c r="H29" s="3">
        <f t="shared" si="0"/>
        <v>2.9999999999999957E-3</v>
      </c>
      <c r="I29" s="3">
        <f t="shared" si="5"/>
        <v>9.8130778667735948E-18</v>
      </c>
      <c r="J29" s="3">
        <f t="shared" si="0"/>
        <v>5.0000000000000044E-4</v>
      </c>
      <c r="K29" s="3">
        <f t="shared" si="6"/>
        <v>7.0710678118654816E-4</v>
      </c>
      <c r="L29" s="3">
        <f t="shared" si="0"/>
        <v>1.0000000000000009E-3</v>
      </c>
      <c r="M29" s="3">
        <f t="shared" si="7"/>
        <v>1.4142135623730963E-3</v>
      </c>
    </row>
    <row r="30" spans="1:13" x14ac:dyDescent="0.3">
      <c r="A30" t="s">
        <v>17</v>
      </c>
      <c r="B30" s="3">
        <f t="shared" si="2"/>
        <v>-5.0000000000000044E-4</v>
      </c>
      <c r="C30" s="3">
        <f t="shared" si="3"/>
        <v>3.5355339059327407E-3</v>
      </c>
      <c r="D30" s="3">
        <f t="shared" si="0"/>
        <v>7.0000000000000062E-3</v>
      </c>
      <c r="E30" s="3">
        <f t="shared" si="3"/>
        <v>5.6568542494923853E-3</v>
      </c>
      <c r="F30" s="3">
        <f t="shared" si="0"/>
        <v>1.4999999999999999E-2</v>
      </c>
      <c r="G30" s="3">
        <f t="shared" si="4"/>
        <v>4.2426406871192857E-3</v>
      </c>
      <c r="H30" s="3">
        <f t="shared" si="0"/>
        <v>3.4999999999999962E-3</v>
      </c>
      <c r="I30" s="3">
        <f t="shared" si="5"/>
        <v>1.3435028842544406E-2</v>
      </c>
      <c r="J30" s="3">
        <f t="shared" si="0"/>
        <v>9.9999999999999395E-4</v>
      </c>
      <c r="K30" s="3">
        <f t="shared" si="6"/>
        <v>1.4142135623730866E-3</v>
      </c>
      <c r="L30" s="3">
        <f t="shared" si="0"/>
        <v>-4.0000000000000036E-3</v>
      </c>
      <c r="M30" s="3">
        <f t="shared" si="7"/>
        <v>4.2426406871192892E-3</v>
      </c>
    </row>
    <row r="31" spans="1:13" x14ac:dyDescent="0.3">
      <c r="A31" t="s">
        <v>18</v>
      </c>
      <c r="B31" s="3">
        <f t="shared" si="2"/>
        <v>5.4999999999999979E-3</v>
      </c>
      <c r="C31" s="3">
        <f t="shared" si="3"/>
        <v>2.1213203435596346E-3</v>
      </c>
      <c r="D31" s="3">
        <f t="shared" si="0"/>
        <v>2.5000000000000022E-3</v>
      </c>
      <c r="E31" s="3">
        <f t="shared" si="3"/>
        <v>7.7781745930520299E-3</v>
      </c>
      <c r="F31" s="3">
        <f t="shared" si="0"/>
        <v>8.5000000000000006E-3</v>
      </c>
      <c r="G31" s="3">
        <f t="shared" si="4"/>
        <v>3.5355339059327307E-3</v>
      </c>
      <c r="H31" s="3">
        <f t="shared" si="0"/>
        <v>-1.4999999999999979E-3</v>
      </c>
      <c r="I31" s="3">
        <f t="shared" si="5"/>
        <v>2.1213203435596394E-3</v>
      </c>
      <c r="J31" s="3">
        <f t="shared" si="0"/>
        <v>-4.9999999999999697E-4</v>
      </c>
      <c r="K31" s="3">
        <f t="shared" si="6"/>
        <v>2.1213203435596394E-3</v>
      </c>
      <c r="L31" s="3">
        <f t="shared" si="0"/>
        <v>-5.5000000000000049E-3</v>
      </c>
      <c r="M31" s="3">
        <f t="shared" si="7"/>
        <v>9.1923881554251251E-3</v>
      </c>
    </row>
    <row r="32" spans="1:13" x14ac:dyDescent="0.3">
      <c r="A32" t="s">
        <v>19</v>
      </c>
      <c r="B32" s="3">
        <f t="shared" si="2"/>
        <v>6.0000000000000053E-3</v>
      </c>
      <c r="C32" s="3">
        <f t="shared" si="3"/>
        <v>4.2426406871192892E-3</v>
      </c>
      <c r="D32" s="3">
        <f t="shared" si="0"/>
        <v>5.4999999999999979E-3</v>
      </c>
      <c r="E32" s="3">
        <f t="shared" si="3"/>
        <v>7.0710678118655803E-4</v>
      </c>
      <c r="F32" s="3">
        <f t="shared" si="0"/>
        <v>9.4999999999999946E-3</v>
      </c>
      <c r="G32" s="3">
        <f t="shared" si="4"/>
        <v>4.9497474683058351E-3</v>
      </c>
      <c r="H32" s="3">
        <f t="shared" si="0"/>
        <v>4.9999999999999351E-4</v>
      </c>
      <c r="I32" s="3">
        <f t="shared" si="5"/>
        <v>7.0710678118653841E-4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5.0000000000000044E-4</v>
      </c>
      <c r="M32" s="3">
        <f t="shared" si="7"/>
        <v>7.0710678118654816E-4</v>
      </c>
    </row>
    <row r="33" spans="1:13" x14ac:dyDescent="0.3">
      <c r="A33" t="s">
        <v>20</v>
      </c>
      <c r="B33" s="3">
        <f t="shared" si="2"/>
        <v>9.000000000000008E-3</v>
      </c>
      <c r="C33" s="3">
        <f t="shared" si="3"/>
        <v>1.9798989873223351E-2</v>
      </c>
      <c r="D33" s="3">
        <f t="shared" si="0"/>
        <v>2.9999999999999957E-3</v>
      </c>
      <c r="E33" s="3">
        <f t="shared" si="3"/>
        <v>7.071067811865471E-3</v>
      </c>
      <c r="F33" s="3">
        <f t="shared" si="0"/>
        <v>1.9000000000000003E-2</v>
      </c>
      <c r="G33" s="3">
        <f t="shared" si="4"/>
        <v>2.5455844122715714E-2</v>
      </c>
      <c r="H33" s="3">
        <f t="shared" si="0"/>
        <v>2.0000000000000018E-3</v>
      </c>
      <c r="I33" s="3">
        <f t="shared" si="5"/>
        <v>0</v>
      </c>
      <c r="J33" s="3">
        <f t="shared" si="0"/>
        <v>0</v>
      </c>
      <c r="K33" s="3">
        <f t="shared" si="6"/>
        <v>0</v>
      </c>
      <c r="L33" s="3">
        <f t="shared" si="0"/>
        <v>-1.0000000000000009E-3</v>
      </c>
      <c r="M33" s="3">
        <f t="shared" si="7"/>
        <v>1.4142135623730963E-3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3"/>
  <sheetViews>
    <sheetView workbookViewId="0">
      <selection activeCell="A25" sqref="A25:M33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0.105</v>
      </c>
      <c r="C3">
        <v>9.0999999999999998E-2</v>
      </c>
      <c r="D3">
        <v>8.4000000000000005E-2</v>
      </c>
      <c r="E3">
        <v>9.5000000000000001E-2</v>
      </c>
      <c r="F3">
        <v>0.154</v>
      </c>
      <c r="G3">
        <v>0.13</v>
      </c>
      <c r="H3">
        <v>8.5000000000000006E-2</v>
      </c>
      <c r="I3">
        <v>6.4000000000000001E-2</v>
      </c>
      <c r="J3">
        <v>5.0999999999999997E-2</v>
      </c>
      <c r="K3">
        <v>4.9000000000000002E-2</v>
      </c>
      <c r="L3">
        <v>0.121</v>
      </c>
      <c r="M3">
        <v>9.2999999999999999E-2</v>
      </c>
    </row>
    <row r="4" spans="1:13" x14ac:dyDescent="0.3">
      <c r="A4" t="s">
        <v>14</v>
      </c>
      <c r="B4">
        <v>0.13900000000000001</v>
      </c>
      <c r="C4">
        <v>0.14399999999999999</v>
      </c>
      <c r="D4">
        <v>8.1000000000000003E-2</v>
      </c>
      <c r="E4">
        <v>9.0999999999999998E-2</v>
      </c>
      <c r="F4">
        <v>0.154</v>
      </c>
      <c r="G4">
        <v>0.13600000000000001</v>
      </c>
      <c r="H4">
        <v>0.1</v>
      </c>
      <c r="I4">
        <v>9.6000000000000002E-2</v>
      </c>
      <c r="J4">
        <v>6.0999999999999999E-2</v>
      </c>
      <c r="K4">
        <v>5.5E-2</v>
      </c>
      <c r="L4">
        <v>9.4E-2</v>
      </c>
      <c r="M4">
        <v>0.111</v>
      </c>
    </row>
    <row r="5" spans="1:13" x14ac:dyDescent="0.3">
      <c r="A5" t="s">
        <v>15</v>
      </c>
      <c r="B5">
        <v>0.14399999999999999</v>
      </c>
      <c r="C5">
        <v>0.154</v>
      </c>
      <c r="D5">
        <v>8.5999999999999993E-2</v>
      </c>
      <c r="E5">
        <v>8.3000000000000004E-2</v>
      </c>
      <c r="F5">
        <v>0.109</v>
      </c>
      <c r="G5">
        <v>0.112</v>
      </c>
      <c r="H5">
        <v>8.2000000000000003E-2</v>
      </c>
      <c r="I5">
        <v>6.2E-2</v>
      </c>
      <c r="J5">
        <v>9.4E-2</v>
      </c>
      <c r="K5">
        <v>0.11899999999999999</v>
      </c>
      <c r="L5">
        <v>0.114</v>
      </c>
      <c r="M5">
        <v>0.108</v>
      </c>
    </row>
    <row r="6" spans="1:13" x14ac:dyDescent="0.3">
      <c r="A6" t="s">
        <v>16</v>
      </c>
      <c r="B6">
        <v>0.182</v>
      </c>
      <c r="C6">
        <v>0.19500000000000001</v>
      </c>
      <c r="D6">
        <v>8.4000000000000005E-2</v>
      </c>
      <c r="E6">
        <v>9.2999999999999999E-2</v>
      </c>
      <c r="F6">
        <v>0.127</v>
      </c>
      <c r="G6">
        <v>0.223</v>
      </c>
      <c r="H6">
        <v>7.0999999999999994E-2</v>
      </c>
      <c r="I6">
        <v>0.113</v>
      </c>
      <c r="J6">
        <v>8.4000000000000005E-2</v>
      </c>
      <c r="K6">
        <v>8.5000000000000006E-2</v>
      </c>
      <c r="L6">
        <v>0.10100000000000001</v>
      </c>
      <c r="M6">
        <v>9.9000000000000005E-2</v>
      </c>
    </row>
    <row r="7" spans="1:13" x14ac:dyDescent="0.3">
      <c r="A7" t="s">
        <v>17</v>
      </c>
      <c r="B7">
        <v>0.13600000000000001</v>
      </c>
      <c r="C7">
        <v>0.14699999999999999</v>
      </c>
      <c r="D7">
        <v>8.4000000000000005E-2</v>
      </c>
      <c r="E7">
        <v>0.10100000000000001</v>
      </c>
      <c r="F7">
        <v>0.124</v>
      </c>
      <c r="G7">
        <v>0.121</v>
      </c>
      <c r="H7">
        <v>0.107</v>
      </c>
      <c r="I7">
        <v>7.8E-2</v>
      </c>
      <c r="J7">
        <v>6.8000000000000005E-2</v>
      </c>
      <c r="K7">
        <v>7.0999999999999994E-2</v>
      </c>
      <c r="L7">
        <v>0.63300000000000001</v>
      </c>
      <c r="M7">
        <v>9.6000000000000002E-2</v>
      </c>
    </row>
    <row r="8" spans="1:13" x14ac:dyDescent="0.3">
      <c r="A8" t="s">
        <v>18</v>
      </c>
      <c r="B8">
        <v>0.124</v>
      </c>
      <c r="C8">
        <v>9.5000000000000001E-2</v>
      </c>
      <c r="D8">
        <v>7.5999999999999998E-2</v>
      </c>
      <c r="E8">
        <v>8.4000000000000005E-2</v>
      </c>
      <c r="F8">
        <v>0.108</v>
      </c>
      <c r="G8">
        <v>8.5999999999999993E-2</v>
      </c>
      <c r="H8">
        <v>7.5999999999999998E-2</v>
      </c>
      <c r="I8">
        <v>5.5E-2</v>
      </c>
      <c r="J8">
        <v>4.9000000000000002E-2</v>
      </c>
      <c r="K8">
        <v>6.2E-2</v>
      </c>
      <c r="L8">
        <v>0.35299999999999998</v>
      </c>
      <c r="M8">
        <v>9.8000000000000004E-2</v>
      </c>
    </row>
    <row r="9" spans="1:13" x14ac:dyDescent="0.3">
      <c r="A9" t="s">
        <v>19</v>
      </c>
      <c r="B9">
        <v>0.156</v>
      </c>
      <c r="C9">
        <v>0.17100000000000001</v>
      </c>
      <c r="D9">
        <v>0.106</v>
      </c>
      <c r="E9">
        <v>0.111</v>
      </c>
      <c r="F9">
        <v>0.123</v>
      </c>
      <c r="G9">
        <v>0.112</v>
      </c>
      <c r="H9">
        <v>7.0000000000000007E-2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3">
      <c r="A10" t="s">
        <v>20</v>
      </c>
      <c r="B10">
        <v>0.218</v>
      </c>
      <c r="C10">
        <v>0.22900000000000001</v>
      </c>
      <c r="D10">
        <v>0.10299999999999999</v>
      </c>
      <c r="E10">
        <v>0.123</v>
      </c>
      <c r="F10">
        <v>0.26400000000000001</v>
      </c>
      <c r="G10">
        <v>0.161</v>
      </c>
      <c r="H10">
        <v>0.1</v>
      </c>
      <c r="I10">
        <v>9.4E-2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6.9999999999999923E-3</v>
      </c>
      <c r="C15" s="3">
        <f xml:space="preserve"> C3 - '+0.0 seg'!$C$3</f>
        <v>5.9999999999999915E-3</v>
      </c>
      <c r="D15" s="3">
        <f xml:space="preserve"> D3 - '+0.0 seg'!$D$3</f>
        <v>1.100000000000001E-2</v>
      </c>
      <c r="E15" s="3">
        <f xml:space="preserve"> E3 - '+0.0 seg'!$E$3</f>
        <v>8.0000000000000071E-3</v>
      </c>
      <c r="F15" s="3">
        <f xml:space="preserve"> F3 - '+0.0 seg'!$F$3</f>
        <v>7.0000000000000062E-3</v>
      </c>
      <c r="G15" s="3">
        <f xml:space="preserve"> G3 - '+0.0 seg'!$G$3</f>
        <v>1.4999999999999999E-2</v>
      </c>
      <c r="H15" s="3">
        <f xml:space="preserve"> H3 - '+0.0 seg'!$H$3</f>
        <v>2.0000000000000018E-3</v>
      </c>
      <c r="I15" s="3">
        <f xml:space="preserve"> I3 - '+0.0 seg'!$I$3</f>
        <v>3.0000000000000027E-3</v>
      </c>
      <c r="J15" s="3">
        <f xml:space="preserve"> J3 - '+0.0 seg'!$J$3</f>
        <v>0</v>
      </c>
      <c r="K15" s="3">
        <f xml:space="preserve"> K3 - '+0.0 seg'!$K$3</f>
        <v>-2.9999999999999957E-3</v>
      </c>
      <c r="L15" s="3">
        <f xml:space="preserve"> L3 - '+0.0 seg'!$L$3</f>
        <v>1.0000000000000009E-3</v>
      </c>
      <c r="M15" s="3">
        <f xml:space="preserve"> M3 - '+0.0 seg'!$M$3</f>
        <v>1.0000000000000009E-3</v>
      </c>
    </row>
    <row r="16" spans="1:13" x14ac:dyDescent="0.3">
      <c r="A16" t="s">
        <v>14</v>
      </c>
      <c r="B16" s="3">
        <f xml:space="preserve"> B4 - '+0.0 seg'!$B$4</f>
        <v>1.100000000000001E-2</v>
      </c>
      <c r="C16" s="3">
        <f xml:space="preserve"> C4 - '+0.0 seg'!$C$4</f>
        <v>3.9999999999999758E-3</v>
      </c>
      <c r="D16" s="3">
        <f xml:space="preserve"> D4 - '+0.0 seg'!$D$4</f>
        <v>5.0000000000000044E-3</v>
      </c>
      <c r="E16" s="3">
        <f xml:space="preserve"> E4 - '+0.0 seg'!$E$4</f>
        <v>6.9999999999999923E-3</v>
      </c>
      <c r="F16" s="3">
        <f xml:space="preserve"> F4 - '+0.0 seg'!$F$4</f>
        <v>8.0000000000000071E-3</v>
      </c>
      <c r="G16" s="3">
        <f xml:space="preserve"> G4 - '+0.0 seg'!$G$4</f>
        <v>9.000000000000008E-3</v>
      </c>
      <c r="H16" s="3">
        <f xml:space="preserve"> H4 - '+0.0 seg'!$H$4</f>
        <v>9.000000000000008E-3</v>
      </c>
      <c r="I16" s="3">
        <f xml:space="preserve"> I4 - '+0.0 seg'!$I$4</f>
        <v>4.0000000000000036E-3</v>
      </c>
      <c r="J16" s="3">
        <f xml:space="preserve"> J4 - '+0.0 seg'!$J$4</f>
        <v>-1.0000000000000009E-3</v>
      </c>
      <c r="K16" s="3">
        <f xml:space="preserve"> K4 - '+0.0 seg'!$K$4</f>
        <v>3.0000000000000027E-3</v>
      </c>
      <c r="L16" s="3">
        <f xml:space="preserve"> L4 - '+0.0 seg'!$L$4</f>
        <v>0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3.0000000000000027E-3</v>
      </c>
      <c r="C17" s="3">
        <f xml:space="preserve"> C5 - '+0.0 seg'!$C$5</f>
        <v>1.2000000000000011E-2</v>
      </c>
      <c r="D17" s="3">
        <f xml:space="preserve"> D5 - '+0.0 seg'!$D$5</f>
        <v>5.9999999999999915E-3</v>
      </c>
      <c r="E17" s="3">
        <f xml:space="preserve"> E5 - '+0.0 seg'!$E$5</f>
        <v>3.0000000000000027E-3</v>
      </c>
      <c r="F17" s="3">
        <f xml:space="preserve"> F5 - '+0.0 seg'!$F$5</f>
        <v>7.9999999999999932E-3</v>
      </c>
      <c r="G17" s="3">
        <f xml:space="preserve"> G5 - '+0.0 seg'!$G$5</f>
        <v>-4.0000000000000036E-3</v>
      </c>
      <c r="H17" s="3">
        <f xml:space="preserve"> H5 - '+0.0 seg'!$H$5</f>
        <v>7.0000000000000062E-3</v>
      </c>
      <c r="I17" s="3">
        <f xml:space="preserve"> I5 - '+0.0 seg'!$I$5</f>
        <v>-7.0000000000000062E-3</v>
      </c>
      <c r="J17" s="3">
        <f xml:space="preserve"> J5 - '+0.0 seg'!$J$5</f>
        <v>0</v>
      </c>
      <c r="K17" s="3">
        <f xml:space="preserve"> K5 - '+0.0 seg'!$K$5</f>
        <v>1.0000000000000009E-3</v>
      </c>
      <c r="L17" s="3">
        <f xml:space="preserve"> L5 - '+0.0 seg'!$L$5</f>
        <v>0</v>
      </c>
      <c r="M17" s="3">
        <f xml:space="preserve"> M5 - '+0.0 seg'!$M$5</f>
        <v>1.0000000000000009E-3</v>
      </c>
    </row>
    <row r="18" spans="1:13" x14ac:dyDescent="0.3">
      <c r="A18" t="s">
        <v>16</v>
      </c>
      <c r="B18" s="3">
        <f xml:space="preserve"> B6 - '+0.0 seg'!$B$6</f>
        <v>1.0999999999999982E-2</v>
      </c>
      <c r="C18" s="3">
        <f xml:space="preserve"> C6 - '+0.0 seg'!$C$6</f>
        <v>1.100000000000001E-2</v>
      </c>
      <c r="D18" s="3">
        <f xml:space="preserve"> D6 - '+0.0 seg'!$D$6</f>
        <v>2.0000000000000018E-3</v>
      </c>
      <c r="E18" s="3">
        <f xml:space="preserve"> E6 - '+0.0 seg'!$E$6</f>
        <v>2.0000000000000018E-3</v>
      </c>
      <c r="F18" s="3">
        <f xml:space="preserve"> F6 - '+0.0 seg'!$F$6</f>
        <v>9.999999999999995E-3</v>
      </c>
      <c r="G18" s="3">
        <f xml:space="preserve"> G6 - '+0.0 seg'!$G$6</f>
        <v>2.3999999999999994E-2</v>
      </c>
      <c r="H18" s="3">
        <f xml:space="preserve"> H6 - '+0.0 seg'!$H$6</f>
        <v>2.9999999999999888E-3</v>
      </c>
      <c r="I18" s="3">
        <f xml:space="preserve"> I6 - '+0.0 seg'!$I$6</f>
        <v>4.0000000000000036E-3</v>
      </c>
      <c r="J18" s="3">
        <f xml:space="preserve"> J6 - '+0.0 seg'!$J$6</f>
        <v>1.0000000000000009E-3</v>
      </c>
      <c r="K18" s="3">
        <f xml:space="preserve"> K6 - '+0.0 seg'!$K$6</f>
        <v>1.0000000000000009E-3</v>
      </c>
      <c r="L18" s="3">
        <f xml:space="preserve"> L6 - '+0.0 seg'!$L$6</f>
        <v>0</v>
      </c>
      <c r="M18" s="3">
        <f xml:space="preserve"> M6 - '+0.0 seg'!$M$6</f>
        <v>2.0000000000000018E-3</v>
      </c>
    </row>
    <row r="19" spans="1:13" x14ac:dyDescent="0.3">
      <c r="A19" t="s">
        <v>17</v>
      </c>
      <c r="B19" s="3">
        <f xml:space="preserve"> B7 - '+0.0 seg'!$B$7</f>
        <v>2.0000000000000018E-3</v>
      </c>
      <c r="C19" s="3">
        <f xml:space="preserve"> C7 - '+0.0 seg'!$C$7</f>
        <v>-4.0000000000000036E-3</v>
      </c>
      <c r="D19" s="3">
        <f xml:space="preserve"> D7 - '+0.0 seg'!$D$7</f>
        <v>4.0000000000000036E-3</v>
      </c>
      <c r="E19" s="3">
        <f xml:space="preserve"> E7 - '+0.0 seg'!$E$7</f>
        <v>1.3000000000000012E-2</v>
      </c>
      <c r="F19" s="3">
        <f xml:space="preserve"> F7 - '+0.0 seg'!$F$7</f>
        <v>1.1999999999999997E-2</v>
      </c>
      <c r="G19" s="3">
        <f xml:space="preserve"> G7 - '+0.0 seg'!$G$7</f>
        <v>1.8000000000000002E-2</v>
      </c>
      <c r="H19" s="3">
        <f xml:space="preserve"> H7 - '+0.0 seg'!$H$7</f>
        <v>1.2999999999999998E-2</v>
      </c>
      <c r="I19" s="3">
        <f xml:space="preserve"> I7 - '+0.0 seg'!$I$7</f>
        <v>-6.0000000000000053E-3</v>
      </c>
      <c r="J19" s="3">
        <f xml:space="preserve"> J7 - '+0.0 seg'!$J$7</f>
        <v>-1.0000000000000009E-3</v>
      </c>
      <c r="K19" s="3">
        <f xml:space="preserve"> K7 - '+0.0 seg'!$K$7</f>
        <v>1.9999999999999879E-3</v>
      </c>
      <c r="L19" s="3">
        <f xml:space="preserve"> L7 - '+0.0 seg'!$L$7</f>
        <v>-1.0000000000000009E-2</v>
      </c>
      <c r="M19" s="3">
        <f xml:space="preserve"> M7 - '+0.0 seg'!$M$7</f>
        <v>-1.0000000000000009E-3</v>
      </c>
    </row>
    <row r="20" spans="1:13" x14ac:dyDescent="0.3">
      <c r="A20" t="s">
        <v>18</v>
      </c>
      <c r="B20" s="3">
        <f xml:space="preserve"> B8 - '+0.0 seg'!$B$8</f>
        <v>7.9999999999999932E-3</v>
      </c>
      <c r="C20" s="3">
        <f xml:space="preserve"> C8 - '+0.0 seg'!$C$8</f>
        <v>4.0000000000000036E-3</v>
      </c>
      <c r="D20" s="3">
        <f xml:space="preserve"> D8 - '+0.0 seg'!$D$8</f>
        <v>-3.0000000000000027E-3</v>
      </c>
      <c r="E20" s="3">
        <f xml:space="preserve"> E8 - '+0.0 seg'!$E$8</f>
        <v>9.000000000000008E-3</v>
      </c>
      <c r="F20" s="3">
        <f xml:space="preserve"> F8 - '+0.0 seg'!$F$8</f>
        <v>1.1999999999999997E-2</v>
      </c>
      <c r="G20" s="3">
        <f xml:space="preserve"> G8 - '+0.0 seg'!$G$8</f>
        <v>6.9999999999999923E-3</v>
      </c>
      <c r="H20" s="3">
        <f xml:space="preserve"> H8 - '+0.0 seg'!$H$8</f>
        <v>0</v>
      </c>
      <c r="I20" s="3">
        <f xml:space="preserve"> I8 - '+0.0 seg'!$I$8</f>
        <v>-3.9999999999999966E-3</v>
      </c>
      <c r="J20" s="3">
        <f xml:space="preserve"> J8 - '+0.0 seg'!$J$8</f>
        <v>-1.9999999999999948E-3</v>
      </c>
      <c r="K20" s="3">
        <f xml:space="preserve"> K8 - '+0.0 seg'!$K$8</f>
        <v>0</v>
      </c>
      <c r="L20" s="3">
        <f xml:space="preserve"> L8 - '+0.0 seg'!$L$8</f>
        <v>-1.6000000000000014E-2</v>
      </c>
      <c r="M20" s="3">
        <f xml:space="preserve"> M8 - '+0.0 seg'!$M$8</f>
        <v>1.0000000000000009E-3</v>
      </c>
    </row>
    <row r="21" spans="1:13" x14ac:dyDescent="0.3">
      <c r="A21" t="s">
        <v>19</v>
      </c>
      <c r="B21" s="3">
        <f xml:space="preserve"> B9 - '+0.0 seg'!$B$9</f>
        <v>5.0000000000000044E-3</v>
      </c>
      <c r="C21" s="3">
        <f xml:space="preserve"> C9 - '+0.0 seg'!$C$9</f>
        <v>9.000000000000008E-3</v>
      </c>
      <c r="D21" s="3">
        <f xml:space="preserve"> D9 - '+0.0 seg'!$D$9</f>
        <v>5.9999999999999915E-3</v>
      </c>
      <c r="E21" s="3">
        <f xml:space="preserve"> E9 - '+0.0 seg'!$E$9</f>
        <v>6.0000000000000053E-3</v>
      </c>
      <c r="F21" s="3">
        <f xml:space="preserve"> F9 - '+0.0 seg'!$F$9</f>
        <v>6.9999999999999923E-3</v>
      </c>
      <c r="G21" s="3">
        <f xml:space="preserve"> G9 - '+0.0 seg'!$G$9</f>
        <v>1.3999999999999999E-2</v>
      </c>
      <c r="H21" s="3">
        <f xml:space="preserve"> H9 - '+0.0 seg'!$H$9</f>
        <v>0</v>
      </c>
      <c r="I21" s="3">
        <f xml:space="preserve"> I9 - '+0.0 seg'!$I$9</f>
        <v>0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</row>
    <row r="22" spans="1:13" x14ac:dyDescent="0.3">
      <c r="A22" t="s">
        <v>20</v>
      </c>
      <c r="B22" s="3">
        <f xml:space="preserve"> B10 - '+0.0 seg'!$B$10</f>
        <v>-1.0000000000000009E-3</v>
      </c>
      <c r="C22" s="3">
        <f xml:space="preserve"> C10 - '+0.0 seg'!$C$10</f>
        <v>2.4000000000000021E-2</v>
      </c>
      <c r="D22" s="3">
        <f xml:space="preserve"> D10 - '+0.0 seg'!$D$10</f>
        <v>-2.0000000000000018E-3</v>
      </c>
      <c r="E22" s="3">
        <f xml:space="preserve"> E10 - '+0.0 seg'!$E$10</f>
        <v>1.0999999999999996E-2</v>
      </c>
      <c r="F22" s="3">
        <f xml:space="preserve"> F10 - '+0.0 seg'!$F$10</f>
        <v>3.8000000000000006E-2</v>
      </c>
      <c r="G22" s="3">
        <f xml:space="preserve"> G10 - '+0.0 seg'!$G$10</f>
        <v>2.0000000000000018E-3</v>
      </c>
      <c r="H22" s="3">
        <f xml:space="preserve"> H10 - '+0.0 seg'!$H$10</f>
        <v>3.0000000000000027E-3</v>
      </c>
      <c r="I22" s="3">
        <f xml:space="preserve"> I10 - '+0.0 seg'!$I$10</f>
        <v>2.0000000000000018E-3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-2.0000000000000018E-3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6.4999999999999919E-3</v>
      </c>
      <c r="C26" s="3">
        <f>STDEV(B15:C15)</f>
        <v>7.0710678118654816E-4</v>
      </c>
      <c r="D26" s="3">
        <f t="shared" ref="D26:L33" si="0">AVERAGE(D15:E15)</f>
        <v>9.5000000000000084E-3</v>
      </c>
      <c r="E26" s="3">
        <f>STDEV(D15:E15)</f>
        <v>2.1213203435596446E-3</v>
      </c>
      <c r="F26" s="3">
        <f t="shared" si="0"/>
        <v>1.1000000000000003E-2</v>
      </c>
      <c r="G26" s="3">
        <f>STDEV(F15:G15)</f>
        <v>5.6568542494923775E-3</v>
      </c>
      <c r="H26" s="3">
        <f t="shared" si="0"/>
        <v>2.5000000000000022E-3</v>
      </c>
      <c r="I26" s="3">
        <f>STDEV(H15:I15)</f>
        <v>7.0710678118654816E-4</v>
      </c>
      <c r="J26" s="3">
        <f t="shared" si="0"/>
        <v>-1.4999999999999979E-3</v>
      </c>
      <c r="K26" s="3">
        <f>STDEV(J15:K15)</f>
        <v>2.1213203435596394E-3</v>
      </c>
      <c r="L26" s="3">
        <f t="shared" ref="L26:M26" si="1">AVERAGE(L15:M15)</f>
        <v>1.0000000000000009E-3</v>
      </c>
      <c r="M26" s="3">
        <f>STDEV(L15:M15)</f>
        <v>0</v>
      </c>
    </row>
    <row r="27" spans="1:13" x14ac:dyDescent="0.3">
      <c r="A27" t="s">
        <v>14</v>
      </c>
      <c r="B27" s="3">
        <f t="shared" ref="B27:B33" si="2">AVERAGE(B16:C16)</f>
        <v>7.4999999999999928E-3</v>
      </c>
      <c r="C27" s="3">
        <f t="shared" ref="C27:E33" si="3">STDEV(B16:C16)</f>
        <v>4.9497474683058576E-3</v>
      </c>
      <c r="D27" s="3">
        <f t="shared" si="0"/>
        <v>5.9999999999999984E-3</v>
      </c>
      <c r="E27" s="3">
        <f t="shared" si="3"/>
        <v>1.4142135623730866E-3</v>
      </c>
      <c r="F27" s="3">
        <f t="shared" si="0"/>
        <v>8.5000000000000075E-3</v>
      </c>
      <c r="G27" s="3">
        <f t="shared" ref="G27:G33" si="4">STDEV(F16:G16)</f>
        <v>7.0710678118654816E-4</v>
      </c>
      <c r="H27" s="3">
        <f t="shared" si="0"/>
        <v>6.5000000000000058E-3</v>
      </c>
      <c r="I27" s="3">
        <f t="shared" ref="I27:I33" si="5">STDEV(H16:I16)</f>
        <v>3.5355339059327385E-3</v>
      </c>
      <c r="J27" s="3">
        <f t="shared" si="0"/>
        <v>1.0000000000000009E-3</v>
      </c>
      <c r="K27" s="3">
        <f t="shared" ref="K27:K33" si="6">STDEV(J16:K16)</f>
        <v>2.8284271247461927E-3</v>
      </c>
      <c r="L27" s="3">
        <f t="shared" si="0"/>
        <v>0</v>
      </c>
      <c r="M27" s="3">
        <f t="shared" ref="M27:M33" si="7">STDEV(L16:M16)</f>
        <v>0</v>
      </c>
    </row>
    <row r="28" spans="1:13" x14ac:dyDescent="0.3">
      <c r="A28" t="s">
        <v>15</v>
      </c>
      <c r="B28" s="3">
        <f t="shared" si="2"/>
        <v>7.5000000000000067E-3</v>
      </c>
      <c r="C28" s="3">
        <f t="shared" si="3"/>
        <v>6.3639610306789312E-3</v>
      </c>
      <c r="D28" s="3">
        <f t="shared" si="0"/>
        <v>4.4999999999999971E-3</v>
      </c>
      <c r="E28" s="3">
        <f t="shared" si="3"/>
        <v>2.1213203435596346E-3</v>
      </c>
      <c r="F28" s="3">
        <f t="shared" si="0"/>
        <v>1.9999999999999948E-3</v>
      </c>
      <c r="G28" s="3">
        <f t="shared" si="4"/>
        <v>8.485281374238568E-3</v>
      </c>
      <c r="H28" s="3">
        <f t="shared" si="0"/>
        <v>0</v>
      </c>
      <c r="I28" s="3">
        <f t="shared" si="5"/>
        <v>9.8994949366116736E-3</v>
      </c>
      <c r="J28" s="3">
        <f t="shared" si="0"/>
        <v>5.0000000000000044E-4</v>
      </c>
      <c r="K28" s="3">
        <f t="shared" si="6"/>
        <v>7.0710678118654816E-4</v>
      </c>
      <c r="L28" s="3">
        <f t="shared" si="0"/>
        <v>5.0000000000000044E-4</v>
      </c>
      <c r="M28" s="3">
        <f t="shared" si="7"/>
        <v>7.0710678118654816E-4</v>
      </c>
    </row>
    <row r="29" spans="1:13" x14ac:dyDescent="0.3">
      <c r="A29" t="s">
        <v>16</v>
      </c>
      <c r="B29" s="3">
        <f t="shared" si="2"/>
        <v>1.0999999999999996E-2</v>
      </c>
      <c r="C29" s="3">
        <f t="shared" si="3"/>
        <v>1.962615573354719E-17</v>
      </c>
      <c r="D29" s="3">
        <f t="shared" si="0"/>
        <v>2.0000000000000018E-3</v>
      </c>
      <c r="E29" s="3">
        <f t="shared" si="3"/>
        <v>0</v>
      </c>
      <c r="F29" s="3">
        <f t="shared" si="0"/>
        <v>1.6999999999999994E-2</v>
      </c>
      <c r="G29" s="3">
        <f t="shared" si="4"/>
        <v>9.899494936611665E-3</v>
      </c>
      <c r="H29" s="3">
        <f t="shared" si="0"/>
        <v>3.4999999999999962E-3</v>
      </c>
      <c r="I29" s="3">
        <f t="shared" si="5"/>
        <v>7.0710678118655803E-4</v>
      </c>
      <c r="J29" s="3">
        <f t="shared" si="0"/>
        <v>1.0000000000000009E-3</v>
      </c>
      <c r="K29" s="3">
        <f t="shared" si="6"/>
        <v>0</v>
      </c>
      <c r="L29" s="3">
        <f t="shared" si="0"/>
        <v>1.0000000000000009E-3</v>
      </c>
      <c r="M29" s="3">
        <f t="shared" si="7"/>
        <v>1.4142135623730963E-3</v>
      </c>
    </row>
    <row r="30" spans="1:13" x14ac:dyDescent="0.3">
      <c r="A30" t="s">
        <v>17</v>
      </c>
      <c r="B30" s="3">
        <f t="shared" si="2"/>
        <v>-1.0000000000000009E-3</v>
      </c>
      <c r="C30" s="3">
        <f t="shared" si="3"/>
        <v>4.2426406871192892E-3</v>
      </c>
      <c r="D30" s="3">
        <f t="shared" si="0"/>
        <v>8.5000000000000075E-3</v>
      </c>
      <c r="E30" s="3">
        <f t="shared" si="3"/>
        <v>6.3639610306789347E-3</v>
      </c>
      <c r="F30" s="3">
        <f t="shared" si="0"/>
        <v>1.4999999999999999E-2</v>
      </c>
      <c r="G30" s="3">
        <f t="shared" si="4"/>
        <v>4.2426406871192857E-3</v>
      </c>
      <c r="H30" s="3">
        <f t="shared" si="0"/>
        <v>3.4999999999999962E-3</v>
      </c>
      <c r="I30" s="3">
        <f t="shared" si="5"/>
        <v>1.3435028842544406E-2</v>
      </c>
      <c r="J30" s="3">
        <f t="shared" si="0"/>
        <v>4.9999999999999351E-4</v>
      </c>
      <c r="K30" s="3">
        <f t="shared" si="6"/>
        <v>2.1213203435596346E-3</v>
      </c>
      <c r="L30" s="3">
        <f t="shared" si="0"/>
        <v>-5.5000000000000049E-3</v>
      </c>
      <c r="M30" s="3">
        <f t="shared" si="7"/>
        <v>6.3639610306789329E-3</v>
      </c>
    </row>
    <row r="31" spans="1:13" x14ac:dyDescent="0.3">
      <c r="A31" t="s">
        <v>18</v>
      </c>
      <c r="B31" s="3">
        <f t="shared" si="2"/>
        <v>5.9999999999999984E-3</v>
      </c>
      <c r="C31" s="3">
        <f t="shared" si="3"/>
        <v>2.8284271247461814E-3</v>
      </c>
      <c r="D31" s="3">
        <f t="shared" si="0"/>
        <v>3.0000000000000027E-3</v>
      </c>
      <c r="E31" s="3">
        <f t="shared" si="3"/>
        <v>8.4852813742385784E-3</v>
      </c>
      <c r="F31" s="3">
        <f t="shared" si="0"/>
        <v>9.4999999999999946E-3</v>
      </c>
      <c r="G31" s="3">
        <f t="shared" si="4"/>
        <v>3.5355339059327385E-3</v>
      </c>
      <c r="H31" s="3">
        <f t="shared" si="0"/>
        <v>-1.9999999999999983E-3</v>
      </c>
      <c r="I31" s="3">
        <f t="shared" si="5"/>
        <v>2.8284271247461874E-3</v>
      </c>
      <c r="J31" s="3">
        <f t="shared" si="0"/>
        <v>-9.9999999999999742E-4</v>
      </c>
      <c r="K31" s="3">
        <f t="shared" si="6"/>
        <v>1.4142135623730913E-3</v>
      </c>
      <c r="L31" s="3">
        <f t="shared" si="0"/>
        <v>-7.5000000000000067E-3</v>
      </c>
      <c r="M31" s="3">
        <f t="shared" si="7"/>
        <v>1.2020815280171321E-2</v>
      </c>
    </row>
    <row r="32" spans="1:13" x14ac:dyDescent="0.3">
      <c r="A32" t="s">
        <v>19</v>
      </c>
      <c r="B32" s="3">
        <f t="shared" si="2"/>
        <v>7.0000000000000062E-3</v>
      </c>
      <c r="C32" s="3">
        <f t="shared" si="3"/>
        <v>2.8284271247461935E-3</v>
      </c>
      <c r="D32" s="3">
        <f t="shared" si="0"/>
        <v>5.9999999999999984E-3</v>
      </c>
      <c r="E32" s="3">
        <f t="shared" si="3"/>
        <v>9.8130778667735948E-18</v>
      </c>
      <c r="F32" s="3">
        <f t="shared" si="0"/>
        <v>1.0499999999999995E-2</v>
      </c>
      <c r="G32" s="3">
        <f t="shared" si="4"/>
        <v>4.9497474683058412E-3</v>
      </c>
      <c r="H32" s="3">
        <f t="shared" si="0"/>
        <v>0</v>
      </c>
      <c r="I32" s="3">
        <f t="shared" si="5"/>
        <v>0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0</v>
      </c>
      <c r="M32" s="3">
        <f t="shared" si="7"/>
        <v>0</v>
      </c>
    </row>
    <row r="33" spans="1:13" x14ac:dyDescent="0.3">
      <c r="A33" t="s">
        <v>20</v>
      </c>
      <c r="B33" s="3">
        <f t="shared" si="2"/>
        <v>1.150000000000001E-2</v>
      </c>
      <c r="C33" s="3">
        <f t="shared" si="3"/>
        <v>1.7677669529663705E-2</v>
      </c>
      <c r="D33" s="3">
        <f t="shared" si="0"/>
        <v>4.4999999999999971E-3</v>
      </c>
      <c r="E33" s="3">
        <f t="shared" si="3"/>
        <v>9.1923881554251165E-3</v>
      </c>
      <c r="F33" s="3">
        <f t="shared" si="0"/>
        <v>2.0000000000000004E-2</v>
      </c>
      <c r="G33" s="3">
        <f t="shared" si="4"/>
        <v>2.5455844122715714E-2</v>
      </c>
      <c r="H33" s="3">
        <f t="shared" si="0"/>
        <v>2.5000000000000022E-3</v>
      </c>
      <c r="I33" s="3">
        <f t="shared" si="5"/>
        <v>7.0710678118654816E-4</v>
      </c>
      <c r="J33" s="3">
        <f t="shared" si="0"/>
        <v>0</v>
      </c>
      <c r="K33" s="3">
        <f t="shared" si="6"/>
        <v>0</v>
      </c>
      <c r="L33" s="3">
        <f t="shared" si="0"/>
        <v>-1.0000000000000009E-3</v>
      </c>
      <c r="M33" s="3">
        <f t="shared" si="7"/>
        <v>1.4142135623730963E-3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3"/>
  <sheetViews>
    <sheetView workbookViewId="0">
      <selection activeCell="A25" sqref="A25:M33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0.105</v>
      </c>
      <c r="C3">
        <v>9.1999999999999998E-2</v>
      </c>
      <c r="D3">
        <v>8.4000000000000005E-2</v>
      </c>
      <c r="E3">
        <v>9.4E-2</v>
      </c>
      <c r="F3">
        <v>0.155</v>
      </c>
      <c r="G3">
        <v>0.13200000000000001</v>
      </c>
      <c r="H3">
        <v>8.5999999999999993E-2</v>
      </c>
      <c r="I3">
        <v>6.4000000000000001E-2</v>
      </c>
      <c r="J3">
        <v>5.0999999999999997E-2</v>
      </c>
      <c r="K3">
        <v>4.9000000000000002E-2</v>
      </c>
      <c r="L3">
        <v>0.122</v>
      </c>
      <c r="M3">
        <v>9.2999999999999999E-2</v>
      </c>
    </row>
    <row r="4" spans="1:13" x14ac:dyDescent="0.3">
      <c r="A4" t="s">
        <v>14</v>
      </c>
      <c r="B4">
        <v>0.13400000000000001</v>
      </c>
      <c r="C4">
        <v>0.14499999999999999</v>
      </c>
      <c r="D4">
        <v>8.8999999999999996E-2</v>
      </c>
      <c r="E4">
        <v>9.1999999999999998E-2</v>
      </c>
      <c r="F4">
        <v>0.155</v>
      </c>
      <c r="G4">
        <v>0.13800000000000001</v>
      </c>
      <c r="H4">
        <v>0.1</v>
      </c>
      <c r="I4">
        <v>9.6000000000000002E-2</v>
      </c>
      <c r="J4">
        <v>6.0999999999999999E-2</v>
      </c>
      <c r="K4">
        <v>5.6000000000000001E-2</v>
      </c>
      <c r="L4">
        <v>9.4E-2</v>
      </c>
      <c r="M4">
        <v>0.111</v>
      </c>
    </row>
    <row r="5" spans="1:13" x14ac:dyDescent="0.3">
      <c r="A5" t="s">
        <v>15</v>
      </c>
      <c r="B5">
        <v>0.14599999999999999</v>
      </c>
      <c r="C5">
        <v>0.155</v>
      </c>
      <c r="D5">
        <v>8.5999999999999993E-2</v>
      </c>
      <c r="E5">
        <v>8.2000000000000003E-2</v>
      </c>
      <c r="F5">
        <v>0.111</v>
      </c>
      <c r="G5">
        <v>0.113</v>
      </c>
      <c r="H5">
        <v>0.08</v>
      </c>
      <c r="I5">
        <v>6.2E-2</v>
      </c>
      <c r="J5">
        <v>9.4E-2</v>
      </c>
      <c r="K5">
        <v>0.11899999999999999</v>
      </c>
      <c r="L5">
        <v>0.114</v>
      </c>
      <c r="M5">
        <v>0.108</v>
      </c>
    </row>
    <row r="6" spans="1:13" x14ac:dyDescent="0.3">
      <c r="A6" t="s">
        <v>16</v>
      </c>
      <c r="B6">
        <v>0.184</v>
      </c>
      <c r="C6">
        <v>0.19800000000000001</v>
      </c>
      <c r="D6">
        <v>8.4000000000000005E-2</v>
      </c>
      <c r="E6">
        <v>9.2999999999999999E-2</v>
      </c>
      <c r="F6">
        <v>0.129</v>
      </c>
      <c r="G6">
        <v>0.22600000000000001</v>
      </c>
      <c r="H6">
        <v>7.1999999999999995E-2</v>
      </c>
      <c r="I6">
        <v>0.114</v>
      </c>
      <c r="J6">
        <v>8.4000000000000005E-2</v>
      </c>
      <c r="K6">
        <v>8.4000000000000005E-2</v>
      </c>
      <c r="L6">
        <v>0.10100000000000001</v>
      </c>
      <c r="M6">
        <v>9.9000000000000005E-2</v>
      </c>
    </row>
    <row r="7" spans="1:13" x14ac:dyDescent="0.3">
      <c r="A7" t="s">
        <v>17</v>
      </c>
      <c r="B7">
        <v>0.13800000000000001</v>
      </c>
      <c r="C7">
        <v>0.153</v>
      </c>
      <c r="D7">
        <v>8.3000000000000004E-2</v>
      </c>
      <c r="E7">
        <v>0.10199999999999999</v>
      </c>
      <c r="F7">
        <v>0.125</v>
      </c>
      <c r="G7">
        <v>0.122</v>
      </c>
      <c r="H7">
        <v>0.107</v>
      </c>
      <c r="I7">
        <v>7.8E-2</v>
      </c>
      <c r="J7">
        <v>6.9000000000000006E-2</v>
      </c>
      <c r="K7">
        <v>7.0999999999999994E-2</v>
      </c>
      <c r="L7">
        <v>0.63600000000000001</v>
      </c>
      <c r="M7">
        <v>9.6000000000000002E-2</v>
      </c>
    </row>
    <row r="8" spans="1:13" x14ac:dyDescent="0.3">
      <c r="A8" t="s">
        <v>18</v>
      </c>
      <c r="B8">
        <v>0.125</v>
      </c>
      <c r="C8">
        <v>9.6000000000000002E-2</v>
      </c>
      <c r="D8">
        <v>7.4999999999999997E-2</v>
      </c>
      <c r="E8">
        <v>8.5000000000000006E-2</v>
      </c>
      <c r="F8">
        <v>0.108</v>
      </c>
      <c r="G8">
        <v>8.6999999999999994E-2</v>
      </c>
      <c r="H8">
        <v>7.4999999999999997E-2</v>
      </c>
      <c r="I8">
        <v>5.5E-2</v>
      </c>
      <c r="J8">
        <v>4.9000000000000002E-2</v>
      </c>
      <c r="K8">
        <v>6.2E-2</v>
      </c>
      <c r="L8">
        <v>0.35399999999999998</v>
      </c>
      <c r="M8">
        <v>9.8000000000000004E-2</v>
      </c>
    </row>
    <row r="9" spans="1:13" x14ac:dyDescent="0.3">
      <c r="A9" t="s">
        <v>19</v>
      </c>
      <c r="B9">
        <v>0.157</v>
      </c>
      <c r="C9">
        <v>0.17299999999999999</v>
      </c>
      <c r="D9">
        <v>0.106</v>
      </c>
      <c r="E9">
        <v>0.111</v>
      </c>
      <c r="F9">
        <v>0.124</v>
      </c>
      <c r="G9">
        <v>0.112</v>
      </c>
      <c r="H9">
        <v>7.0999999999999994E-2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3">
      <c r="A10" t="s">
        <v>20</v>
      </c>
      <c r="B10">
        <v>0.221</v>
      </c>
      <c r="C10">
        <v>0.23</v>
      </c>
      <c r="D10">
        <v>0.10299999999999999</v>
      </c>
      <c r="E10">
        <v>0.125</v>
      </c>
      <c r="F10">
        <v>0.26700000000000002</v>
      </c>
      <c r="G10">
        <v>0.16</v>
      </c>
      <c r="H10">
        <v>0.1</v>
      </c>
      <c r="I10">
        <v>9.5000000000000001E-2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6.9999999999999923E-3</v>
      </c>
      <c r="C15" s="3">
        <f xml:space="preserve"> C3 - '+0.0 seg'!$C$3</f>
        <v>6.9999999999999923E-3</v>
      </c>
      <c r="D15" s="3">
        <f xml:space="preserve"> D3 - '+0.0 seg'!$D$3</f>
        <v>1.100000000000001E-2</v>
      </c>
      <c r="E15" s="3">
        <f xml:space="preserve"> E3 - '+0.0 seg'!$E$3</f>
        <v>7.0000000000000062E-3</v>
      </c>
      <c r="F15" s="3">
        <f xml:space="preserve"> F3 - '+0.0 seg'!$F$3</f>
        <v>8.0000000000000071E-3</v>
      </c>
      <c r="G15" s="3">
        <f xml:space="preserve"> G3 - '+0.0 seg'!$G$3</f>
        <v>1.7000000000000001E-2</v>
      </c>
      <c r="H15" s="3">
        <f xml:space="preserve"> H3 - '+0.0 seg'!$H$3</f>
        <v>2.9999999999999888E-3</v>
      </c>
      <c r="I15" s="3">
        <f xml:space="preserve"> I3 - '+0.0 seg'!$I$3</f>
        <v>3.0000000000000027E-3</v>
      </c>
      <c r="J15" s="3">
        <f xml:space="preserve"> J3 - '+0.0 seg'!$J$3</f>
        <v>0</v>
      </c>
      <c r="K15" s="3">
        <f xml:space="preserve"> K3 - '+0.0 seg'!$K$3</f>
        <v>-2.9999999999999957E-3</v>
      </c>
      <c r="L15" s="3">
        <f xml:space="preserve"> L3 - '+0.0 seg'!$L$3</f>
        <v>2.0000000000000018E-3</v>
      </c>
      <c r="M15" s="3">
        <f xml:space="preserve"> M3 - '+0.0 seg'!$M$3</f>
        <v>1.0000000000000009E-3</v>
      </c>
    </row>
    <row r="16" spans="1:13" x14ac:dyDescent="0.3">
      <c r="A16" t="s">
        <v>14</v>
      </c>
      <c r="B16" s="3">
        <f xml:space="preserve"> B4 - '+0.0 seg'!$B$4</f>
        <v>6.0000000000000053E-3</v>
      </c>
      <c r="C16" s="3">
        <f xml:space="preserve"> C4 - '+0.0 seg'!$C$4</f>
        <v>4.9999999999999767E-3</v>
      </c>
      <c r="D16" s="3">
        <f xml:space="preserve"> D4 - '+0.0 seg'!$D$4</f>
        <v>1.2999999999999998E-2</v>
      </c>
      <c r="E16" s="3">
        <f xml:space="preserve"> E4 - '+0.0 seg'!$E$4</f>
        <v>7.9999999999999932E-3</v>
      </c>
      <c r="F16" s="3">
        <f xml:space="preserve"> F4 - '+0.0 seg'!$F$4</f>
        <v>9.000000000000008E-3</v>
      </c>
      <c r="G16" s="3">
        <f xml:space="preserve"> G4 - '+0.0 seg'!$G$4</f>
        <v>1.100000000000001E-2</v>
      </c>
      <c r="H16" s="3">
        <f xml:space="preserve"> H4 - '+0.0 seg'!$H$4</f>
        <v>9.000000000000008E-3</v>
      </c>
      <c r="I16" s="3">
        <f xml:space="preserve"> I4 - '+0.0 seg'!$I$4</f>
        <v>4.0000000000000036E-3</v>
      </c>
      <c r="J16" s="3">
        <f xml:space="preserve"> J4 - '+0.0 seg'!$J$4</f>
        <v>-1.0000000000000009E-3</v>
      </c>
      <c r="K16" s="3">
        <f xml:space="preserve"> K4 - '+0.0 seg'!$K$4</f>
        <v>4.0000000000000036E-3</v>
      </c>
      <c r="L16" s="3">
        <f xml:space="preserve"> L4 - '+0.0 seg'!$L$4</f>
        <v>0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5.0000000000000044E-3</v>
      </c>
      <c r="C17" s="3">
        <f xml:space="preserve"> C5 - '+0.0 seg'!$C$5</f>
        <v>1.3000000000000012E-2</v>
      </c>
      <c r="D17" s="3">
        <f xml:space="preserve"> D5 - '+0.0 seg'!$D$5</f>
        <v>5.9999999999999915E-3</v>
      </c>
      <c r="E17" s="3">
        <f xml:space="preserve"> E5 - '+0.0 seg'!$E$5</f>
        <v>2.0000000000000018E-3</v>
      </c>
      <c r="F17" s="3">
        <f xml:space="preserve"> F5 - '+0.0 seg'!$F$5</f>
        <v>9.999999999999995E-3</v>
      </c>
      <c r="G17" s="3">
        <f xml:space="preserve"> G5 - '+0.0 seg'!$G$5</f>
        <v>-3.0000000000000027E-3</v>
      </c>
      <c r="H17" s="3">
        <f xml:space="preserve"> H5 - '+0.0 seg'!$H$5</f>
        <v>5.0000000000000044E-3</v>
      </c>
      <c r="I17" s="3">
        <f xml:space="preserve"> I5 - '+0.0 seg'!$I$5</f>
        <v>-7.0000000000000062E-3</v>
      </c>
      <c r="J17" s="3">
        <f xml:space="preserve"> J5 - '+0.0 seg'!$J$5</f>
        <v>0</v>
      </c>
      <c r="K17" s="3">
        <f xml:space="preserve"> K5 - '+0.0 seg'!$K$5</f>
        <v>1.0000000000000009E-3</v>
      </c>
      <c r="L17" s="3">
        <f xml:space="preserve"> L5 - '+0.0 seg'!$L$5</f>
        <v>0</v>
      </c>
      <c r="M17" s="3">
        <f xml:space="preserve"> M5 - '+0.0 seg'!$M$5</f>
        <v>1.0000000000000009E-3</v>
      </c>
    </row>
    <row r="18" spans="1:13" x14ac:dyDescent="0.3">
      <c r="A18" t="s">
        <v>16</v>
      </c>
      <c r="B18" s="3">
        <f xml:space="preserve"> B6 - '+0.0 seg'!$B$6</f>
        <v>1.2999999999999984E-2</v>
      </c>
      <c r="C18" s="3">
        <f xml:space="preserve"> C6 - '+0.0 seg'!$C$6</f>
        <v>1.4000000000000012E-2</v>
      </c>
      <c r="D18" s="3">
        <f xml:space="preserve"> D6 - '+0.0 seg'!$D$6</f>
        <v>2.0000000000000018E-3</v>
      </c>
      <c r="E18" s="3">
        <f xml:space="preserve"> E6 - '+0.0 seg'!$E$6</f>
        <v>2.0000000000000018E-3</v>
      </c>
      <c r="F18" s="3">
        <f xml:space="preserve"> F6 - '+0.0 seg'!$F$6</f>
        <v>1.1999999999999997E-2</v>
      </c>
      <c r="G18" s="3">
        <f xml:space="preserve"> G6 - '+0.0 seg'!$G$6</f>
        <v>2.6999999999999996E-2</v>
      </c>
      <c r="H18" s="3">
        <f xml:space="preserve"> H6 - '+0.0 seg'!$H$6</f>
        <v>3.9999999999999897E-3</v>
      </c>
      <c r="I18" s="3">
        <f xml:space="preserve"> I6 - '+0.0 seg'!$I$6</f>
        <v>5.0000000000000044E-3</v>
      </c>
      <c r="J18" s="3">
        <f xml:space="preserve"> J6 - '+0.0 seg'!$J$6</f>
        <v>1.0000000000000009E-3</v>
      </c>
      <c r="K18" s="3">
        <f xml:space="preserve"> K6 - '+0.0 seg'!$K$6</f>
        <v>0</v>
      </c>
      <c r="L18" s="3">
        <f xml:space="preserve"> L6 - '+0.0 seg'!$L$6</f>
        <v>0</v>
      </c>
      <c r="M18" s="3">
        <f xml:space="preserve"> M6 - '+0.0 seg'!$M$6</f>
        <v>2.0000000000000018E-3</v>
      </c>
    </row>
    <row r="19" spans="1:13" x14ac:dyDescent="0.3">
      <c r="A19" t="s">
        <v>17</v>
      </c>
      <c r="B19" s="3">
        <f xml:space="preserve"> B7 - '+0.0 seg'!$B$7</f>
        <v>4.0000000000000036E-3</v>
      </c>
      <c r="C19" s="3">
        <f xml:space="preserve"> C7 - '+0.0 seg'!$C$7</f>
        <v>2.0000000000000018E-3</v>
      </c>
      <c r="D19" s="3">
        <f xml:space="preserve"> D7 - '+0.0 seg'!$D$7</f>
        <v>3.0000000000000027E-3</v>
      </c>
      <c r="E19" s="3">
        <f xml:space="preserve"> E7 - '+0.0 seg'!$E$7</f>
        <v>1.3999999999999999E-2</v>
      </c>
      <c r="F19" s="3">
        <f xml:space="preserve"> F7 - '+0.0 seg'!$F$7</f>
        <v>1.2999999999999998E-2</v>
      </c>
      <c r="G19" s="3">
        <f xml:space="preserve"> G7 - '+0.0 seg'!$G$7</f>
        <v>1.9000000000000003E-2</v>
      </c>
      <c r="H19" s="3">
        <f xml:space="preserve"> H7 - '+0.0 seg'!$H$7</f>
        <v>1.2999999999999998E-2</v>
      </c>
      <c r="I19" s="3">
        <f xml:space="preserve"> I7 - '+0.0 seg'!$I$7</f>
        <v>-6.0000000000000053E-3</v>
      </c>
      <c r="J19" s="3">
        <f xml:space="preserve"> J7 - '+0.0 seg'!$J$7</f>
        <v>0</v>
      </c>
      <c r="K19" s="3">
        <f xml:space="preserve"> K7 - '+0.0 seg'!$K$7</f>
        <v>1.9999999999999879E-3</v>
      </c>
      <c r="L19" s="3">
        <f xml:space="preserve"> L7 - '+0.0 seg'!$L$7</f>
        <v>-7.0000000000000062E-3</v>
      </c>
      <c r="M19" s="3">
        <f xml:space="preserve"> M7 - '+0.0 seg'!$M$7</f>
        <v>-1.0000000000000009E-3</v>
      </c>
    </row>
    <row r="20" spans="1:13" x14ac:dyDescent="0.3">
      <c r="A20" t="s">
        <v>18</v>
      </c>
      <c r="B20" s="3">
        <f xml:space="preserve"> B8 - '+0.0 seg'!$B$8</f>
        <v>8.9999999999999941E-3</v>
      </c>
      <c r="C20" s="3">
        <f xml:space="preserve"> C8 - '+0.0 seg'!$C$8</f>
        <v>5.0000000000000044E-3</v>
      </c>
      <c r="D20" s="3">
        <f xml:space="preserve"> D8 - '+0.0 seg'!$D$8</f>
        <v>-4.0000000000000036E-3</v>
      </c>
      <c r="E20" s="3">
        <f xml:space="preserve"> E8 - '+0.0 seg'!$E$8</f>
        <v>1.0000000000000009E-2</v>
      </c>
      <c r="F20" s="3">
        <f xml:space="preserve"> F8 - '+0.0 seg'!$F$8</f>
        <v>1.1999999999999997E-2</v>
      </c>
      <c r="G20" s="3">
        <f xml:space="preserve"> G8 - '+0.0 seg'!$G$8</f>
        <v>7.9999999999999932E-3</v>
      </c>
      <c r="H20" s="3">
        <f xml:space="preserve"> H8 - '+0.0 seg'!$H$8</f>
        <v>-1.0000000000000009E-3</v>
      </c>
      <c r="I20" s="3">
        <f xml:space="preserve"> I8 - '+0.0 seg'!$I$8</f>
        <v>-3.9999999999999966E-3</v>
      </c>
      <c r="J20" s="3">
        <f xml:space="preserve"> J8 - '+0.0 seg'!$J$8</f>
        <v>-1.9999999999999948E-3</v>
      </c>
      <c r="K20" s="3">
        <f xml:space="preserve"> K8 - '+0.0 seg'!$K$8</f>
        <v>0</v>
      </c>
      <c r="L20" s="3">
        <f xml:space="preserve"> L8 - '+0.0 seg'!$L$8</f>
        <v>-1.5000000000000013E-2</v>
      </c>
      <c r="M20" s="3">
        <f xml:space="preserve"> M8 - '+0.0 seg'!$M$8</f>
        <v>1.0000000000000009E-3</v>
      </c>
    </row>
    <row r="21" spans="1:13" x14ac:dyDescent="0.3">
      <c r="A21" t="s">
        <v>19</v>
      </c>
      <c r="B21" s="3">
        <f xml:space="preserve"> B9 - '+0.0 seg'!$B$9</f>
        <v>6.0000000000000053E-3</v>
      </c>
      <c r="C21" s="3">
        <f xml:space="preserve"> C9 - '+0.0 seg'!$C$9</f>
        <v>1.0999999999999982E-2</v>
      </c>
      <c r="D21" s="3">
        <f xml:space="preserve"> D9 - '+0.0 seg'!$D$9</f>
        <v>5.9999999999999915E-3</v>
      </c>
      <c r="E21" s="3">
        <f xml:space="preserve"> E9 - '+0.0 seg'!$E$9</f>
        <v>6.0000000000000053E-3</v>
      </c>
      <c r="F21" s="3">
        <f xml:space="preserve"> F9 - '+0.0 seg'!$F$9</f>
        <v>7.9999999999999932E-3</v>
      </c>
      <c r="G21" s="3">
        <f xml:space="preserve"> G9 - '+0.0 seg'!$G$9</f>
        <v>1.3999999999999999E-2</v>
      </c>
      <c r="H21" s="3">
        <f xml:space="preserve"> H9 - '+0.0 seg'!$H$9</f>
        <v>9.9999999999998701E-4</v>
      </c>
      <c r="I21" s="3">
        <f xml:space="preserve"> I9 - '+0.0 seg'!$I$9</f>
        <v>0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</row>
    <row r="22" spans="1:13" x14ac:dyDescent="0.3">
      <c r="A22" t="s">
        <v>20</v>
      </c>
      <c r="B22" s="3">
        <f xml:space="preserve"> B10 - '+0.0 seg'!$B$10</f>
        <v>2.0000000000000018E-3</v>
      </c>
      <c r="C22" s="3">
        <f xml:space="preserve"> C10 - '+0.0 seg'!$C$10</f>
        <v>2.5000000000000022E-2</v>
      </c>
      <c r="D22" s="3">
        <f xml:space="preserve"> D10 - '+0.0 seg'!$D$10</f>
        <v>-2.0000000000000018E-3</v>
      </c>
      <c r="E22" s="3">
        <f xml:space="preserve"> E10 - '+0.0 seg'!$E$10</f>
        <v>1.2999999999999998E-2</v>
      </c>
      <c r="F22" s="3">
        <f xml:space="preserve"> F10 - '+0.0 seg'!$F$10</f>
        <v>4.1000000000000009E-2</v>
      </c>
      <c r="G22" s="3">
        <f xml:space="preserve"> G10 - '+0.0 seg'!$G$10</f>
        <v>1.0000000000000009E-3</v>
      </c>
      <c r="H22" s="3">
        <f xml:space="preserve"> H10 - '+0.0 seg'!$H$10</f>
        <v>3.0000000000000027E-3</v>
      </c>
      <c r="I22" s="3">
        <f xml:space="preserve"> I10 - '+0.0 seg'!$I$10</f>
        <v>3.0000000000000027E-3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-2.0000000000000018E-3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6.9999999999999923E-3</v>
      </c>
      <c r="C26" s="3">
        <f>STDEV(B15:C15)</f>
        <v>0</v>
      </c>
      <c r="D26" s="3">
        <f t="shared" ref="D26:L33" si="0">AVERAGE(D15:E15)</f>
        <v>9.000000000000008E-3</v>
      </c>
      <c r="E26" s="3">
        <f>STDEV(D15:E15)</f>
        <v>2.8284271247461927E-3</v>
      </c>
      <c r="F26" s="3">
        <f t="shared" si="0"/>
        <v>1.2500000000000004E-2</v>
      </c>
      <c r="G26" s="3">
        <f>STDEV(F15:G15)</f>
        <v>6.3639610306789199E-3</v>
      </c>
      <c r="H26" s="3">
        <f t="shared" si="0"/>
        <v>2.9999999999999957E-3</v>
      </c>
      <c r="I26" s="3">
        <f>STDEV(H15:I15)</f>
        <v>9.8130778667735948E-18</v>
      </c>
      <c r="J26" s="3">
        <f t="shared" si="0"/>
        <v>-1.4999999999999979E-3</v>
      </c>
      <c r="K26" s="3">
        <f>STDEV(J15:K15)</f>
        <v>2.1213203435596394E-3</v>
      </c>
      <c r="L26" s="3">
        <f t="shared" ref="L26:M26" si="1">AVERAGE(L15:M15)</f>
        <v>1.5000000000000013E-3</v>
      </c>
      <c r="M26" s="3">
        <f>STDEV(L15:M15)</f>
        <v>7.0710678118654816E-4</v>
      </c>
    </row>
    <row r="27" spans="1:13" x14ac:dyDescent="0.3">
      <c r="A27" t="s">
        <v>14</v>
      </c>
      <c r="B27" s="3">
        <f t="shared" ref="B27:B33" si="2">AVERAGE(B16:C16)</f>
        <v>5.499999999999991E-3</v>
      </c>
      <c r="C27" s="3">
        <f t="shared" ref="C27:E33" si="3">STDEV(B16:C16)</f>
        <v>7.0710678118656779E-4</v>
      </c>
      <c r="D27" s="3">
        <f t="shared" si="0"/>
        <v>1.0499999999999995E-2</v>
      </c>
      <c r="E27" s="3">
        <f t="shared" si="3"/>
        <v>3.5355339059327385E-3</v>
      </c>
      <c r="F27" s="3">
        <f t="shared" si="0"/>
        <v>1.0000000000000009E-2</v>
      </c>
      <c r="G27" s="3">
        <f t="shared" ref="G27:G33" si="4">STDEV(F16:G16)</f>
        <v>1.4142135623730963E-3</v>
      </c>
      <c r="H27" s="3">
        <f t="shared" si="0"/>
        <v>6.5000000000000058E-3</v>
      </c>
      <c r="I27" s="3">
        <f t="shared" ref="I27:I33" si="5">STDEV(H16:I16)</f>
        <v>3.5355339059327385E-3</v>
      </c>
      <c r="J27" s="3">
        <f t="shared" si="0"/>
        <v>1.5000000000000013E-3</v>
      </c>
      <c r="K27" s="3">
        <f t="shared" ref="K27:K33" si="6">STDEV(J16:K16)</f>
        <v>3.5355339059327407E-3</v>
      </c>
      <c r="L27" s="3">
        <f t="shared" si="0"/>
        <v>0</v>
      </c>
      <c r="M27" s="3">
        <f t="shared" ref="M27:M33" si="7">STDEV(L16:M16)</f>
        <v>0</v>
      </c>
    </row>
    <row r="28" spans="1:13" x14ac:dyDescent="0.3">
      <c r="A28" t="s">
        <v>15</v>
      </c>
      <c r="B28" s="3">
        <f t="shared" si="2"/>
        <v>9.000000000000008E-3</v>
      </c>
      <c r="C28" s="3">
        <f t="shared" si="3"/>
        <v>5.656854249492387E-3</v>
      </c>
      <c r="D28" s="3">
        <f t="shared" si="0"/>
        <v>3.9999999999999966E-3</v>
      </c>
      <c r="E28" s="3">
        <f t="shared" si="3"/>
        <v>2.8284271247461835E-3</v>
      </c>
      <c r="F28" s="3">
        <f t="shared" si="0"/>
        <v>3.4999999999999962E-3</v>
      </c>
      <c r="G28" s="3">
        <f t="shared" si="4"/>
        <v>9.1923881554251165E-3</v>
      </c>
      <c r="H28" s="3">
        <f t="shared" si="0"/>
        <v>-1.0000000000000009E-3</v>
      </c>
      <c r="I28" s="3">
        <f t="shared" si="5"/>
        <v>8.4852813742385784E-3</v>
      </c>
      <c r="J28" s="3">
        <f t="shared" si="0"/>
        <v>5.0000000000000044E-4</v>
      </c>
      <c r="K28" s="3">
        <f t="shared" si="6"/>
        <v>7.0710678118654816E-4</v>
      </c>
      <c r="L28" s="3">
        <f t="shared" si="0"/>
        <v>5.0000000000000044E-4</v>
      </c>
      <c r="M28" s="3">
        <f t="shared" si="7"/>
        <v>7.0710678118654816E-4</v>
      </c>
    </row>
    <row r="29" spans="1:13" x14ac:dyDescent="0.3">
      <c r="A29" t="s">
        <v>16</v>
      </c>
      <c r="B29" s="3">
        <f t="shared" si="2"/>
        <v>1.3499999999999998E-2</v>
      </c>
      <c r="C29" s="3">
        <f t="shared" si="3"/>
        <v>7.0710678118656779E-4</v>
      </c>
      <c r="D29" s="3">
        <f t="shared" si="0"/>
        <v>2.0000000000000018E-3</v>
      </c>
      <c r="E29" s="3">
        <f t="shared" si="3"/>
        <v>0</v>
      </c>
      <c r="F29" s="3">
        <f t="shared" si="0"/>
        <v>1.9499999999999997E-2</v>
      </c>
      <c r="G29" s="3">
        <f t="shared" si="4"/>
        <v>1.0606601717798217E-2</v>
      </c>
      <c r="H29" s="3">
        <f t="shared" si="0"/>
        <v>4.4999999999999971E-3</v>
      </c>
      <c r="I29" s="3">
        <f t="shared" si="5"/>
        <v>7.0710678118655803E-4</v>
      </c>
      <c r="J29" s="3">
        <f t="shared" si="0"/>
        <v>5.0000000000000044E-4</v>
      </c>
      <c r="K29" s="3">
        <f t="shared" si="6"/>
        <v>7.0710678118654816E-4</v>
      </c>
      <c r="L29" s="3">
        <f t="shared" si="0"/>
        <v>1.0000000000000009E-3</v>
      </c>
      <c r="M29" s="3">
        <f t="shared" si="7"/>
        <v>1.4142135623730963E-3</v>
      </c>
    </row>
    <row r="30" spans="1:13" x14ac:dyDescent="0.3">
      <c r="A30" t="s">
        <v>17</v>
      </c>
      <c r="B30" s="3">
        <f t="shared" si="2"/>
        <v>3.0000000000000027E-3</v>
      </c>
      <c r="C30" s="3">
        <f t="shared" si="3"/>
        <v>1.4142135623730963E-3</v>
      </c>
      <c r="D30" s="3">
        <f t="shared" si="0"/>
        <v>8.5000000000000006E-3</v>
      </c>
      <c r="E30" s="3">
        <f t="shared" si="3"/>
        <v>7.7781745930520212E-3</v>
      </c>
      <c r="F30" s="3">
        <f t="shared" si="0"/>
        <v>1.6E-2</v>
      </c>
      <c r="G30" s="3">
        <f t="shared" si="4"/>
        <v>4.2426406871192987E-3</v>
      </c>
      <c r="H30" s="3">
        <f t="shared" si="0"/>
        <v>3.4999999999999962E-3</v>
      </c>
      <c r="I30" s="3">
        <f t="shared" si="5"/>
        <v>1.3435028842544406E-2</v>
      </c>
      <c r="J30" s="3">
        <f t="shared" si="0"/>
        <v>9.9999999999999395E-4</v>
      </c>
      <c r="K30" s="3">
        <f t="shared" si="6"/>
        <v>1.4142135623730866E-3</v>
      </c>
      <c r="L30" s="3">
        <f t="shared" si="0"/>
        <v>-4.0000000000000036E-3</v>
      </c>
      <c r="M30" s="3">
        <f t="shared" si="7"/>
        <v>4.2426406871192892E-3</v>
      </c>
    </row>
    <row r="31" spans="1:13" x14ac:dyDescent="0.3">
      <c r="A31" t="s">
        <v>18</v>
      </c>
      <c r="B31" s="3">
        <f t="shared" si="2"/>
        <v>6.9999999999999993E-3</v>
      </c>
      <c r="C31" s="3">
        <f t="shared" si="3"/>
        <v>2.8284271247461835E-3</v>
      </c>
      <c r="D31" s="3">
        <f t="shared" si="0"/>
        <v>3.0000000000000027E-3</v>
      </c>
      <c r="E31" s="3">
        <f t="shared" si="3"/>
        <v>9.8994949366116754E-3</v>
      </c>
      <c r="F31" s="3">
        <f t="shared" si="0"/>
        <v>9.999999999999995E-3</v>
      </c>
      <c r="G31" s="3">
        <f t="shared" si="4"/>
        <v>2.8284271247461927E-3</v>
      </c>
      <c r="H31" s="3">
        <f t="shared" si="0"/>
        <v>-2.4999999999999988E-3</v>
      </c>
      <c r="I31" s="3">
        <f t="shared" si="5"/>
        <v>2.1213203435596394E-3</v>
      </c>
      <c r="J31" s="3">
        <f t="shared" si="0"/>
        <v>-9.9999999999999742E-4</v>
      </c>
      <c r="K31" s="3">
        <f t="shared" si="6"/>
        <v>1.4142135623730913E-3</v>
      </c>
      <c r="L31" s="3">
        <f t="shared" si="0"/>
        <v>-7.0000000000000062E-3</v>
      </c>
      <c r="M31" s="3">
        <f t="shared" si="7"/>
        <v>1.1313708498984771E-2</v>
      </c>
    </row>
    <row r="32" spans="1:13" x14ac:dyDescent="0.3">
      <c r="A32" t="s">
        <v>19</v>
      </c>
      <c r="B32" s="3">
        <f t="shared" si="2"/>
        <v>8.4999999999999937E-3</v>
      </c>
      <c r="C32" s="3">
        <f t="shared" si="3"/>
        <v>3.5355339059327229E-3</v>
      </c>
      <c r="D32" s="3">
        <f t="shared" si="0"/>
        <v>5.9999999999999984E-3</v>
      </c>
      <c r="E32" s="3">
        <f t="shared" si="3"/>
        <v>9.8130778667735948E-18</v>
      </c>
      <c r="F32" s="3">
        <f t="shared" si="0"/>
        <v>1.0999999999999996E-2</v>
      </c>
      <c r="G32" s="3">
        <f t="shared" si="4"/>
        <v>4.2426406871192918E-3</v>
      </c>
      <c r="H32" s="3">
        <f t="shared" si="0"/>
        <v>4.9999999999999351E-4</v>
      </c>
      <c r="I32" s="3">
        <f t="shared" si="5"/>
        <v>7.0710678118653841E-4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0</v>
      </c>
      <c r="M32" s="3">
        <f t="shared" si="7"/>
        <v>0</v>
      </c>
    </row>
    <row r="33" spans="1:13" x14ac:dyDescent="0.3">
      <c r="A33" t="s">
        <v>20</v>
      </c>
      <c r="B33" s="3">
        <f t="shared" si="2"/>
        <v>1.3500000000000012E-2</v>
      </c>
      <c r="C33" s="3">
        <f t="shared" si="3"/>
        <v>1.6263455967290605E-2</v>
      </c>
      <c r="D33" s="3">
        <f t="shared" si="0"/>
        <v>5.4999999999999979E-3</v>
      </c>
      <c r="E33" s="3">
        <f t="shared" si="3"/>
        <v>1.0606601717798213E-2</v>
      </c>
      <c r="F33" s="3">
        <f t="shared" si="0"/>
        <v>2.1000000000000005E-2</v>
      </c>
      <c r="G33" s="3">
        <f t="shared" si="4"/>
        <v>2.8284271247461905E-2</v>
      </c>
      <c r="H33" s="3">
        <f t="shared" si="0"/>
        <v>3.0000000000000027E-3</v>
      </c>
      <c r="I33" s="3">
        <f t="shared" si="5"/>
        <v>0</v>
      </c>
      <c r="J33" s="3">
        <f t="shared" si="0"/>
        <v>0</v>
      </c>
      <c r="K33" s="3">
        <f t="shared" si="6"/>
        <v>0</v>
      </c>
      <c r="L33" s="3">
        <f t="shared" si="0"/>
        <v>-1.0000000000000009E-3</v>
      </c>
      <c r="M33" s="3">
        <f t="shared" si="7"/>
        <v>1.4142135623730963E-3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3"/>
  <sheetViews>
    <sheetView workbookViewId="0">
      <selection activeCell="A25" sqref="A25:M33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0.106</v>
      </c>
      <c r="C3">
        <v>9.1999999999999998E-2</v>
      </c>
      <c r="D3">
        <v>8.4000000000000005E-2</v>
      </c>
      <c r="E3">
        <v>9.8000000000000004E-2</v>
      </c>
      <c r="F3">
        <v>0.156</v>
      </c>
      <c r="G3">
        <v>0.13300000000000001</v>
      </c>
      <c r="H3">
        <v>8.5999999999999993E-2</v>
      </c>
      <c r="I3">
        <v>6.4000000000000001E-2</v>
      </c>
      <c r="J3">
        <v>5.0999999999999997E-2</v>
      </c>
      <c r="K3">
        <v>4.9000000000000002E-2</v>
      </c>
      <c r="L3">
        <v>0.122</v>
      </c>
      <c r="M3">
        <v>9.2999999999999999E-2</v>
      </c>
    </row>
    <row r="4" spans="1:13" x14ac:dyDescent="0.3">
      <c r="A4" t="s">
        <v>14</v>
      </c>
      <c r="B4">
        <v>0.14099999999999999</v>
      </c>
      <c r="C4">
        <v>0.14599999999999999</v>
      </c>
      <c r="D4">
        <v>0.08</v>
      </c>
      <c r="E4">
        <v>9.1999999999999998E-2</v>
      </c>
      <c r="F4">
        <v>0.158</v>
      </c>
      <c r="G4">
        <v>0.13800000000000001</v>
      </c>
      <c r="H4">
        <v>0.1</v>
      </c>
      <c r="I4">
        <v>9.7000000000000003E-2</v>
      </c>
      <c r="J4">
        <v>6.0999999999999999E-2</v>
      </c>
      <c r="K4">
        <v>5.6000000000000001E-2</v>
      </c>
      <c r="L4">
        <v>9.4E-2</v>
      </c>
      <c r="M4">
        <v>0.111</v>
      </c>
    </row>
    <row r="5" spans="1:13" x14ac:dyDescent="0.3">
      <c r="A5" t="s">
        <v>15</v>
      </c>
      <c r="B5">
        <v>0.14599999999999999</v>
      </c>
      <c r="C5">
        <v>0.155</v>
      </c>
      <c r="D5">
        <v>8.5999999999999993E-2</v>
      </c>
      <c r="E5">
        <v>8.2000000000000003E-2</v>
      </c>
      <c r="F5">
        <v>0.111</v>
      </c>
      <c r="G5">
        <v>0.114</v>
      </c>
      <c r="H5">
        <v>8.1000000000000003E-2</v>
      </c>
      <c r="I5">
        <v>6.0999999999999999E-2</v>
      </c>
      <c r="J5">
        <v>9.4E-2</v>
      </c>
      <c r="K5">
        <v>0.11899999999999999</v>
      </c>
      <c r="L5">
        <v>0.114</v>
      </c>
      <c r="M5">
        <v>0.108</v>
      </c>
    </row>
    <row r="6" spans="1:13" x14ac:dyDescent="0.3">
      <c r="A6" t="s">
        <v>16</v>
      </c>
      <c r="B6">
        <v>0.185</v>
      </c>
      <c r="C6">
        <v>0.19900000000000001</v>
      </c>
      <c r="D6">
        <v>8.5000000000000006E-2</v>
      </c>
      <c r="E6">
        <v>9.4E-2</v>
      </c>
      <c r="F6">
        <v>0.129</v>
      </c>
      <c r="G6">
        <v>0.22700000000000001</v>
      </c>
      <c r="H6">
        <v>7.1999999999999995E-2</v>
      </c>
      <c r="I6">
        <v>0.114</v>
      </c>
      <c r="J6">
        <v>8.4000000000000005E-2</v>
      </c>
      <c r="K6">
        <v>8.5000000000000006E-2</v>
      </c>
      <c r="L6">
        <v>0.10100000000000001</v>
      </c>
      <c r="M6">
        <v>9.9000000000000005E-2</v>
      </c>
    </row>
    <row r="7" spans="1:13" x14ac:dyDescent="0.3">
      <c r="A7" t="s">
        <v>17</v>
      </c>
      <c r="B7">
        <v>0.13800000000000001</v>
      </c>
      <c r="C7">
        <v>0.154</v>
      </c>
      <c r="D7">
        <v>8.5000000000000006E-2</v>
      </c>
      <c r="E7">
        <v>0.10199999999999999</v>
      </c>
      <c r="F7">
        <v>0.124</v>
      </c>
      <c r="G7">
        <v>0.122</v>
      </c>
      <c r="H7">
        <v>0.106</v>
      </c>
      <c r="I7">
        <v>7.8E-2</v>
      </c>
      <c r="J7">
        <v>6.9000000000000006E-2</v>
      </c>
      <c r="K7">
        <v>7.0999999999999994E-2</v>
      </c>
      <c r="L7">
        <v>0.63800000000000001</v>
      </c>
      <c r="M7">
        <v>9.6000000000000002E-2</v>
      </c>
    </row>
    <row r="8" spans="1:13" x14ac:dyDescent="0.3">
      <c r="A8" t="s">
        <v>18</v>
      </c>
      <c r="B8">
        <v>0.126</v>
      </c>
      <c r="C8">
        <v>9.6000000000000002E-2</v>
      </c>
      <c r="D8">
        <v>7.5999999999999998E-2</v>
      </c>
      <c r="E8">
        <v>8.5999999999999993E-2</v>
      </c>
      <c r="F8">
        <v>0.109</v>
      </c>
      <c r="G8">
        <v>8.7999999999999995E-2</v>
      </c>
      <c r="H8">
        <v>7.3999999999999996E-2</v>
      </c>
      <c r="I8">
        <v>5.5E-2</v>
      </c>
      <c r="J8">
        <v>4.8000000000000001E-2</v>
      </c>
      <c r="K8">
        <v>6.2E-2</v>
      </c>
      <c r="L8">
        <v>0.35299999999999998</v>
      </c>
      <c r="M8">
        <v>9.8000000000000004E-2</v>
      </c>
    </row>
    <row r="9" spans="1:13" x14ac:dyDescent="0.3">
      <c r="A9" t="s">
        <v>19</v>
      </c>
      <c r="B9">
        <v>0.158</v>
      </c>
      <c r="C9">
        <v>0.17299999999999999</v>
      </c>
      <c r="D9">
        <v>0.105</v>
      </c>
      <c r="E9">
        <v>0.112</v>
      </c>
      <c r="F9">
        <v>0.123</v>
      </c>
      <c r="G9">
        <v>0.113</v>
      </c>
      <c r="H9">
        <v>7.0999999999999994E-2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3">
      <c r="A10" t="s">
        <v>20</v>
      </c>
      <c r="B10">
        <v>0.216</v>
      </c>
      <c r="C10">
        <v>0.23200000000000001</v>
      </c>
      <c r="D10">
        <v>0.10299999999999999</v>
      </c>
      <c r="E10">
        <v>0.124</v>
      </c>
      <c r="F10">
        <v>0.26900000000000002</v>
      </c>
      <c r="G10">
        <v>0.161</v>
      </c>
      <c r="H10">
        <v>9.9000000000000005E-2</v>
      </c>
      <c r="I10">
        <v>9.6000000000000002E-2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7.9999999999999932E-3</v>
      </c>
      <c r="C15" s="3">
        <f xml:space="preserve"> C3 - '+0.0 seg'!$C$3</f>
        <v>6.9999999999999923E-3</v>
      </c>
      <c r="D15" s="3">
        <f xml:space="preserve"> D3 - '+0.0 seg'!$D$3</f>
        <v>1.100000000000001E-2</v>
      </c>
      <c r="E15" s="3">
        <f xml:space="preserve"> E3 - '+0.0 seg'!$E$3</f>
        <v>1.100000000000001E-2</v>
      </c>
      <c r="F15" s="3">
        <f xml:space="preserve"> F3 - '+0.0 seg'!$F$3</f>
        <v>9.000000000000008E-3</v>
      </c>
      <c r="G15" s="3">
        <f xml:space="preserve"> G3 - '+0.0 seg'!$G$3</f>
        <v>1.8000000000000002E-2</v>
      </c>
      <c r="H15" s="3">
        <f xml:space="preserve"> H3 - '+0.0 seg'!$H$3</f>
        <v>2.9999999999999888E-3</v>
      </c>
      <c r="I15" s="3">
        <f xml:space="preserve"> I3 - '+0.0 seg'!$I$3</f>
        <v>3.0000000000000027E-3</v>
      </c>
      <c r="J15" s="3">
        <f xml:space="preserve"> J3 - '+0.0 seg'!$J$3</f>
        <v>0</v>
      </c>
      <c r="K15" s="3">
        <f xml:space="preserve"> K3 - '+0.0 seg'!$K$3</f>
        <v>-2.9999999999999957E-3</v>
      </c>
      <c r="L15" s="3">
        <f xml:space="preserve"> L3 - '+0.0 seg'!$L$3</f>
        <v>2.0000000000000018E-3</v>
      </c>
      <c r="M15" s="3">
        <f xml:space="preserve"> M3 - '+0.0 seg'!$M$3</f>
        <v>1.0000000000000009E-3</v>
      </c>
    </row>
    <row r="16" spans="1:13" x14ac:dyDescent="0.3">
      <c r="A16" t="s">
        <v>14</v>
      </c>
      <c r="B16" s="3">
        <f xml:space="preserve"> B4 - '+0.0 seg'!$B$4</f>
        <v>1.2999999999999984E-2</v>
      </c>
      <c r="C16" s="3">
        <f xml:space="preserve"> C4 - '+0.0 seg'!$C$4</f>
        <v>5.9999999999999776E-3</v>
      </c>
      <c r="D16" s="3">
        <f xml:space="preserve"> D4 - '+0.0 seg'!$D$4</f>
        <v>4.0000000000000036E-3</v>
      </c>
      <c r="E16" s="3">
        <f xml:space="preserve"> E4 - '+0.0 seg'!$E$4</f>
        <v>7.9999999999999932E-3</v>
      </c>
      <c r="F16" s="3">
        <f xml:space="preserve"> F4 - '+0.0 seg'!$F$4</f>
        <v>1.2000000000000011E-2</v>
      </c>
      <c r="G16" s="3">
        <f xml:space="preserve"> G4 - '+0.0 seg'!$G$4</f>
        <v>1.100000000000001E-2</v>
      </c>
      <c r="H16" s="3">
        <f xml:space="preserve"> H4 - '+0.0 seg'!$H$4</f>
        <v>9.000000000000008E-3</v>
      </c>
      <c r="I16" s="3">
        <f xml:space="preserve"> I4 - '+0.0 seg'!$I$4</f>
        <v>5.0000000000000044E-3</v>
      </c>
      <c r="J16" s="3">
        <f xml:space="preserve"> J4 - '+0.0 seg'!$J$4</f>
        <v>-1.0000000000000009E-3</v>
      </c>
      <c r="K16" s="3">
        <f xml:space="preserve"> K4 - '+0.0 seg'!$K$4</f>
        <v>4.0000000000000036E-3</v>
      </c>
      <c r="L16" s="3">
        <f xml:space="preserve"> L4 - '+0.0 seg'!$L$4</f>
        <v>0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5.0000000000000044E-3</v>
      </c>
      <c r="C17" s="3">
        <f xml:space="preserve"> C5 - '+0.0 seg'!$C$5</f>
        <v>1.3000000000000012E-2</v>
      </c>
      <c r="D17" s="3">
        <f xml:space="preserve"> D5 - '+0.0 seg'!$D$5</f>
        <v>5.9999999999999915E-3</v>
      </c>
      <c r="E17" s="3">
        <f xml:space="preserve"> E5 - '+0.0 seg'!$E$5</f>
        <v>2.0000000000000018E-3</v>
      </c>
      <c r="F17" s="3">
        <f xml:space="preserve"> F5 - '+0.0 seg'!$F$5</f>
        <v>9.999999999999995E-3</v>
      </c>
      <c r="G17" s="3">
        <f xml:space="preserve"> G5 - '+0.0 seg'!$G$5</f>
        <v>-2.0000000000000018E-3</v>
      </c>
      <c r="H17" s="3">
        <f xml:space="preserve"> H5 - '+0.0 seg'!$H$5</f>
        <v>6.0000000000000053E-3</v>
      </c>
      <c r="I17" s="3">
        <f xml:space="preserve"> I5 - '+0.0 seg'!$I$5</f>
        <v>-8.0000000000000071E-3</v>
      </c>
      <c r="J17" s="3">
        <f xml:space="preserve"> J5 - '+0.0 seg'!$J$5</f>
        <v>0</v>
      </c>
      <c r="K17" s="3">
        <f xml:space="preserve"> K5 - '+0.0 seg'!$K$5</f>
        <v>1.0000000000000009E-3</v>
      </c>
      <c r="L17" s="3">
        <f xml:space="preserve"> L5 - '+0.0 seg'!$L$5</f>
        <v>0</v>
      </c>
      <c r="M17" s="3">
        <f xml:space="preserve"> M5 - '+0.0 seg'!$M$5</f>
        <v>1.0000000000000009E-3</v>
      </c>
    </row>
    <row r="18" spans="1:13" x14ac:dyDescent="0.3">
      <c r="A18" t="s">
        <v>16</v>
      </c>
      <c r="B18" s="3">
        <f xml:space="preserve"> B6 - '+0.0 seg'!$B$6</f>
        <v>1.3999999999999985E-2</v>
      </c>
      <c r="C18" s="3">
        <f xml:space="preserve"> C6 - '+0.0 seg'!$C$6</f>
        <v>1.5000000000000013E-2</v>
      </c>
      <c r="D18" s="3">
        <f xml:space="preserve"> D6 - '+0.0 seg'!$D$6</f>
        <v>3.0000000000000027E-3</v>
      </c>
      <c r="E18" s="3">
        <f xml:space="preserve"> E6 - '+0.0 seg'!$E$6</f>
        <v>3.0000000000000027E-3</v>
      </c>
      <c r="F18" s="3">
        <f xml:space="preserve"> F6 - '+0.0 seg'!$F$6</f>
        <v>1.1999999999999997E-2</v>
      </c>
      <c r="G18" s="3">
        <f xml:space="preserve"> G6 - '+0.0 seg'!$G$6</f>
        <v>2.7999999999999997E-2</v>
      </c>
      <c r="H18" s="3">
        <f xml:space="preserve"> H6 - '+0.0 seg'!$H$6</f>
        <v>3.9999999999999897E-3</v>
      </c>
      <c r="I18" s="3">
        <f xml:space="preserve"> I6 - '+0.0 seg'!$I$6</f>
        <v>5.0000000000000044E-3</v>
      </c>
      <c r="J18" s="3">
        <f xml:space="preserve"> J6 - '+0.0 seg'!$J$6</f>
        <v>1.0000000000000009E-3</v>
      </c>
      <c r="K18" s="3">
        <f xml:space="preserve"> K6 - '+0.0 seg'!$K$6</f>
        <v>1.0000000000000009E-3</v>
      </c>
      <c r="L18" s="3">
        <f xml:space="preserve"> L6 - '+0.0 seg'!$L$6</f>
        <v>0</v>
      </c>
      <c r="M18" s="3">
        <f xml:space="preserve"> M6 - '+0.0 seg'!$M$6</f>
        <v>2.0000000000000018E-3</v>
      </c>
    </row>
    <row r="19" spans="1:13" x14ac:dyDescent="0.3">
      <c r="A19" t="s">
        <v>17</v>
      </c>
      <c r="B19" s="3">
        <f xml:space="preserve"> B7 - '+0.0 seg'!$B$7</f>
        <v>4.0000000000000036E-3</v>
      </c>
      <c r="C19" s="3">
        <f xml:space="preserve"> C7 - '+0.0 seg'!$C$7</f>
        <v>3.0000000000000027E-3</v>
      </c>
      <c r="D19" s="3">
        <f xml:space="preserve"> D7 - '+0.0 seg'!$D$7</f>
        <v>5.0000000000000044E-3</v>
      </c>
      <c r="E19" s="3">
        <f xml:space="preserve"> E7 - '+0.0 seg'!$E$7</f>
        <v>1.3999999999999999E-2</v>
      </c>
      <c r="F19" s="3">
        <f xml:space="preserve"> F7 - '+0.0 seg'!$F$7</f>
        <v>1.1999999999999997E-2</v>
      </c>
      <c r="G19" s="3">
        <f xml:space="preserve"> G7 - '+0.0 seg'!$G$7</f>
        <v>1.9000000000000003E-2</v>
      </c>
      <c r="H19" s="3">
        <f xml:space="preserve"> H7 - '+0.0 seg'!$H$7</f>
        <v>1.1999999999999997E-2</v>
      </c>
      <c r="I19" s="3">
        <f xml:space="preserve"> I7 - '+0.0 seg'!$I$7</f>
        <v>-6.0000000000000053E-3</v>
      </c>
      <c r="J19" s="3">
        <f xml:space="preserve"> J7 - '+0.0 seg'!$J$7</f>
        <v>0</v>
      </c>
      <c r="K19" s="3">
        <f xml:space="preserve"> K7 - '+0.0 seg'!$K$7</f>
        <v>1.9999999999999879E-3</v>
      </c>
      <c r="L19" s="3">
        <f xml:space="preserve"> L7 - '+0.0 seg'!$L$7</f>
        <v>-5.0000000000000044E-3</v>
      </c>
      <c r="M19" s="3">
        <f xml:space="preserve"> M7 - '+0.0 seg'!$M$7</f>
        <v>-1.0000000000000009E-3</v>
      </c>
    </row>
    <row r="20" spans="1:13" x14ac:dyDescent="0.3">
      <c r="A20" t="s">
        <v>18</v>
      </c>
      <c r="B20" s="3">
        <f xml:space="preserve"> B8 - '+0.0 seg'!$B$8</f>
        <v>9.999999999999995E-3</v>
      </c>
      <c r="C20" s="3">
        <f xml:space="preserve"> C8 - '+0.0 seg'!$C$8</f>
        <v>5.0000000000000044E-3</v>
      </c>
      <c r="D20" s="3">
        <f xml:space="preserve"> D8 - '+0.0 seg'!$D$8</f>
        <v>-3.0000000000000027E-3</v>
      </c>
      <c r="E20" s="3">
        <f xml:space="preserve"> E8 - '+0.0 seg'!$E$8</f>
        <v>1.0999999999999996E-2</v>
      </c>
      <c r="F20" s="3">
        <f xml:space="preserve"> F8 - '+0.0 seg'!$F$8</f>
        <v>1.2999999999999998E-2</v>
      </c>
      <c r="G20" s="3">
        <f xml:space="preserve"> G8 - '+0.0 seg'!$G$8</f>
        <v>8.9999999999999941E-3</v>
      </c>
      <c r="H20" s="3">
        <f xml:space="preserve"> H8 - '+0.0 seg'!$H$8</f>
        <v>-2.0000000000000018E-3</v>
      </c>
      <c r="I20" s="3">
        <f xml:space="preserve"> I8 - '+0.0 seg'!$I$8</f>
        <v>-3.9999999999999966E-3</v>
      </c>
      <c r="J20" s="3">
        <f xml:space="preserve"> J8 - '+0.0 seg'!$J$8</f>
        <v>-2.9999999999999957E-3</v>
      </c>
      <c r="K20" s="3">
        <f xml:space="preserve"> K8 - '+0.0 seg'!$K$8</f>
        <v>0</v>
      </c>
      <c r="L20" s="3">
        <f xml:space="preserve"> L8 - '+0.0 seg'!$L$8</f>
        <v>-1.6000000000000014E-2</v>
      </c>
      <c r="M20" s="3">
        <f xml:space="preserve"> M8 - '+0.0 seg'!$M$8</f>
        <v>1.0000000000000009E-3</v>
      </c>
    </row>
    <row r="21" spans="1:13" x14ac:dyDescent="0.3">
      <c r="A21" t="s">
        <v>19</v>
      </c>
      <c r="B21" s="3">
        <f xml:space="preserve"> B9 - '+0.0 seg'!$B$9</f>
        <v>7.0000000000000062E-3</v>
      </c>
      <c r="C21" s="3">
        <f xml:space="preserve"> C9 - '+0.0 seg'!$C$9</f>
        <v>1.0999999999999982E-2</v>
      </c>
      <c r="D21" s="3">
        <f xml:space="preserve"> D9 - '+0.0 seg'!$D$9</f>
        <v>4.9999999999999906E-3</v>
      </c>
      <c r="E21" s="3">
        <f xml:space="preserve"> E9 - '+0.0 seg'!$E$9</f>
        <v>7.0000000000000062E-3</v>
      </c>
      <c r="F21" s="3">
        <f xml:space="preserve"> F9 - '+0.0 seg'!$F$9</f>
        <v>6.9999999999999923E-3</v>
      </c>
      <c r="G21" s="3">
        <f xml:space="preserve"> G9 - '+0.0 seg'!$G$9</f>
        <v>1.4999999999999999E-2</v>
      </c>
      <c r="H21" s="3">
        <f xml:space="preserve"> H9 - '+0.0 seg'!$H$9</f>
        <v>9.9999999999998701E-4</v>
      </c>
      <c r="I21" s="3">
        <f xml:space="preserve"> I9 - '+0.0 seg'!$I$9</f>
        <v>0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</row>
    <row r="22" spans="1:13" x14ac:dyDescent="0.3">
      <c r="A22" t="s">
        <v>20</v>
      </c>
      <c r="B22" s="3">
        <f xml:space="preserve"> B10 - '+0.0 seg'!$B$10</f>
        <v>-3.0000000000000027E-3</v>
      </c>
      <c r="C22" s="3">
        <f xml:space="preserve"> C10 - '+0.0 seg'!$C$10</f>
        <v>2.7000000000000024E-2</v>
      </c>
      <c r="D22" s="3">
        <f xml:space="preserve"> D10 - '+0.0 seg'!$D$10</f>
        <v>-2.0000000000000018E-3</v>
      </c>
      <c r="E22" s="3">
        <f xml:space="preserve"> E10 - '+0.0 seg'!$E$10</f>
        <v>1.1999999999999997E-2</v>
      </c>
      <c r="F22" s="3">
        <f xml:space="preserve"> F10 - '+0.0 seg'!$F$10</f>
        <v>4.300000000000001E-2</v>
      </c>
      <c r="G22" s="3">
        <f xml:space="preserve"> G10 - '+0.0 seg'!$G$10</f>
        <v>2.0000000000000018E-3</v>
      </c>
      <c r="H22" s="3">
        <f xml:space="preserve"> H10 - '+0.0 seg'!$H$10</f>
        <v>2.0000000000000018E-3</v>
      </c>
      <c r="I22" s="3">
        <f xml:space="preserve"> I10 - '+0.0 seg'!$I$10</f>
        <v>4.0000000000000036E-3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-2.0000000000000018E-3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7.4999999999999928E-3</v>
      </c>
      <c r="C26" s="3">
        <f>STDEV(B15:C15)</f>
        <v>7.0710678118654816E-4</v>
      </c>
      <c r="D26" s="3">
        <f t="shared" ref="D26:L33" si="0">AVERAGE(D15:E15)</f>
        <v>1.100000000000001E-2</v>
      </c>
      <c r="E26" s="3">
        <f>STDEV(D15:E15)</f>
        <v>0</v>
      </c>
      <c r="F26" s="3">
        <f t="shared" si="0"/>
        <v>1.3500000000000005E-2</v>
      </c>
      <c r="G26" s="3">
        <f>STDEV(F15:G15)</f>
        <v>6.3639610306789199E-3</v>
      </c>
      <c r="H26" s="3">
        <f t="shared" si="0"/>
        <v>2.9999999999999957E-3</v>
      </c>
      <c r="I26" s="3">
        <f>STDEV(H15:I15)</f>
        <v>9.8130778667735948E-18</v>
      </c>
      <c r="J26" s="3">
        <f t="shared" si="0"/>
        <v>-1.4999999999999979E-3</v>
      </c>
      <c r="K26" s="3">
        <f>STDEV(J15:K15)</f>
        <v>2.1213203435596394E-3</v>
      </c>
      <c r="L26" s="3">
        <f t="shared" ref="L26:M26" si="1">AVERAGE(L15:M15)</f>
        <v>1.5000000000000013E-3</v>
      </c>
      <c r="M26" s="3">
        <f>STDEV(L15:M15)</f>
        <v>7.0710678118654816E-4</v>
      </c>
    </row>
    <row r="27" spans="1:13" x14ac:dyDescent="0.3">
      <c r="A27" t="s">
        <v>14</v>
      </c>
      <c r="B27" s="3">
        <f t="shared" ref="B27:B33" si="2">AVERAGE(B16:C16)</f>
        <v>9.4999999999999807E-3</v>
      </c>
      <c r="C27" s="3">
        <f t="shared" ref="C27:E33" si="3">STDEV(B16:C16)</f>
        <v>4.9497474683058377E-3</v>
      </c>
      <c r="D27" s="3">
        <f t="shared" si="0"/>
        <v>5.9999999999999984E-3</v>
      </c>
      <c r="E27" s="3">
        <f t="shared" si="3"/>
        <v>2.8284271247461814E-3</v>
      </c>
      <c r="F27" s="3">
        <f t="shared" si="0"/>
        <v>1.150000000000001E-2</v>
      </c>
      <c r="G27" s="3">
        <f t="shared" ref="G27:G33" si="4">STDEV(F16:G16)</f>
        <v>7.0710678118654816E-4</v>
      </c>
      <c r="H27" s="3">
        <f t="shared" si="0"/>
        <v>7.0000000000000062E-3</v>
      </c>
      <c r="I27" s="3">
        <f t="shared" ref="I27:I33" si="5">STDEV(H16:I16)</f>
        <v>2.8284271247461935E-3</v>
      </c>
      <c r="J27" s="3">
        <f t="shared" si="0"/>
        <v>1.5000000000000013E-3</v>
      </c>
      <c r="K27" s="3">
        <f t="shared" ref="K27:K33" si="6">STDEV(J16:K16)</f>
        <v>3.5355339059327407E-3</v>
      </c>
      <c r="L27" s="3">
        <f t="shared" si="0"/>
        <v>0</v>
      </c>
      <c r="M27" s="3">
        <f t="shared" ref="M27:M33" si="7">STDEV(L16:M16)</f>
        <v>0</v>
      </c>
    </row>
    <row r="28" spans="1:13" x14ac:dyDescent="0.3">
      <c r="A28" t="s">
        <v>15</v>
      </c>
      <c r="B28" s="3">
        <f t="shared" si="2"/>
        <v>9.000000000000008E-3</v>
      </c>
      <c r="C28" s="3">
        <f t="shared" si="3"/>
        <v>5.656854249492387E-3</v>
      </c>
      <c r="D28" s="3">
        <f t="shared" si="0"/>
        <v>3.9999999999999966E-3</v>
      </c>
      <c r="E28" s="3">
        <f t="shared" si="3"/>
        <v>2.8284271247461835E-3</v>
      </c>
      <c r="F28" s="3">
        <f t="shared" si="0"/>
        <v>3.9999999999999966E-3</v>
      </c>
      <c r="G28" s="3">
        <f t="shared" si="4"/>
        <v>8.485281374238568E-3</v>
      </c>
      <c r="H28" s="3">
        <f t="shared" si="0"/>
        <v>-1.0000000000000009E-3</v>
      </c>
      <c r="I28" s="3">
        <f t="shared" si="5"/>
        <v>9.8994949366116736E-3</v>
      </c>
      <c r="J28" s="3">
        <f t="shared" si="0"/>
        <v>5.0000000000000044E-4</v>
      </c>
      <c r="K28" s="3">
        <f t="shared" si="6"/>
        <v>7.0710678118654816E-4</v>
      </c>
      <c r="L28" s="3">
        <f t="shared" si="0"/>
        <v>5.0000000000000044E-4</v>
      </c>
      <c r="M28" s="3">
        <f t="shared" si="7"/>
        <v>7.0710678118654816E-4</v>
      </c>
    </row>
    <row r="29" spans="1:13" x14ac:dyDescent="0.3">
      <c r="A29" t="s">
        <v>16</v>
      </c>
      <c r="B29" s="3">
        <f t="shared" si="2"/>
        <v>1.4499999999999999E-2</v>
      </c>
      <c r="C29" s="3">
        <f t="shared" si="3"/>
        <v>7.0710678118656779E-4</v>
      </c>
      <c r="D29" s="3">
        <f t="shared" si="0"/>
        <v>3.0000000000000027E-3</v>
      </c>
      <c r="E29" s="3">
        <f t="shared" si="3"/>
        <v>0</v>
      </c>
      <c r="F29" s="3">
        <f t="shared" si="0"/>
        <v>1.9999999999999997E-2</v>
      </c>
      <c r="G29" s="3">
        <f t="shared" si="4"/>
        <v>1.1313708498984764E-2</v>
      </c>
      <c r="H29" s="3">
        <f t="shared" si="0"/>
        <v>4.4999999999999971E-3</v>
      </c>
      <c r="I29" s="3">
        <f t="shared" si="5"/>
        <v>7.0710678118655803E-4</v>
      </c>
      <c r="J29" s="3">
        <f t="shared" si="0"/>
        <v>1.0000000000000009E-3</v>
      </c>
      <c r="K29" s="3">
        <f t="shared" si="6"/>
        <v>0</v>
      </c>
      <c r="L29" s="3">
        <f t="shared" si="0"/>
        <v>1.0000000000000009E-3</v>
      </c>
      <c r="M29" s="3">
        <f t="shared" si="7"/>
        <v>1.4142135623730963E-3</v>
      </c>
    </row>
    <row r="30" spans="1:13" x14ac:dyDescent="0.3">
      <c r="A30" t="s">
        <v>17</v>
      </c>
      <c r="B30" s="3">
        <f t="shared" si="2"/>
        <v>3.5000000000000031E-3</v>
      </c>
      <c r="C30" s="3">
        <f t="shared" si="3"/>
        <v>7.0710678118654816E-4</v>
      </c>
      <c r="D30" s="3">
        <f t="shared" si="0"/>
        <v>9.5000000000000015E-3</v>
      </c>
      <c r="E30" s="3">
        <f t="shared" si="3"/>
        <v>6.3639610306789243E-3</v>
      </c>
      <c r="F30" s="3">
        <f t="shared" si="0"/>
        <v>1.55E-2</v>
      </c>
      <c r="G30" s="3">
        <f t="shared" si="4"/>
        <v>4.9497474683058377E-3</v>
      </c>
      <c r="H30" s="3">
        <f t="shared" si="0"/>
        <v>2.9999999999999957E-3</v>
      </c>
      <c r="I30" s="3">
        <f t="shared" si="5"/>
        <v>1.2727922061357857E-2</v>
      </c>
      <c r="J30" s="3">
        <f t="shared" si="0"/>
        <v>9.9999999999999395E-4</v>
      </c>
      <c r="K30" s="3">
        <f t="shared" si="6"/>
        <v>1.4142135623730866E-3</v>
      </c>
      <c r="L30" s="3">
        <f t="shared" si="0"/>
        <v>-3.0000000000000027E-3</v>
      </c>
      <c r="M30" s="3">
        <f t="shared" si="7"/>
        <v>2.8284271247461927E-3</v>
      </c>
    </row>
    <row r="31" spans="1:13" x14ac:dyDescent="0.3">
      <c r="A31" t="s">
        <v>18</v>
      </c>
      <c r="B31" s="3">
        <f t="shared" si="2"/>
        <v>7.4999999999999997E-3</v>
      </c>
      <c r="C31" s="3">
        <f t="shared" si="3"/>
        <v>3.5355339059327307E-3</v>
      </c>
      <c r="D31" s="3">
        <f t="shared" si="0"/>
        <v>3.9999999999999966E-3</v>
      </c>
      <c r="E31" s="3">
        <f t="shared" si="3"/>
        <v>9.8994949366116632E-3</v>
      </c>
      <c r="F31" s="3">
        <f t="shared" si="0"/>
        <v>1.0999999999999996E-2</v>
      </c>
      <c r="G31" s="3">
        <f t="shared" si="4"/>
        <v>2.8284271247461927E-3</v>
      </c>
      <c r="H31" s="3">
        <f t="shared" si="0"/>
        <v>-2.9999999999999992E-3</v>
      </c>
      <c r="I31" s="3">
        <f t="shared" si="5"/>
        <v>1.4142135623730913E-3</v>
      </c>
      <c r="J31" s="3">
        <f t="shared" si="0"/>
        <v>-1.4999999999999979E-3</v>
      </c>
      <c r="K31" s="3">
        <f t="shared" si="6"/>
        <v>2.1213203435596394E-3</v>
      </c>
      <c r="L31" s="3">
        <f t="shared" si="0"/>
        <v>-7.5000000000000067E-3</v>
      </c>
      <c r="M31" s="3">
        <f t="shared" si="7"/>
        <v>1.2020815280171321E-2</v>
      </c>
    </row>
    <row r="32" spans="1:13" x14ac:dyDescent="0.3">
      <c r="A32" t="s">
        <v>19</v>
      </c>
      <c r="B32" s="3">
        <f t="shared" si="2"/>
        <v>8.9999999999999941E-3</v>
      </c>
      <c r="C32" s="3">
        <f t="shared" si="3"/>
        <v>2.8284271247461731E-3</v>
      </c>
      <c r="D32" s="3">
        <f t="shared" si="0"/>
        <v>5.9999999999999984E-3</v>
      </c>
      <c r="E32" s="3">
        <f t="shared" si="3"/>
        <v>1.4142135623731061E-3</v>
      </c>
      <c r="F32" s="3">
        <f t="shared" si="0"/>
        <v>1.0999999999999996E-2</v>
      </c>
      <c r="G32" s="3">
        <f t="shared" si="4"/>
        <v>5.656854249492387E-3</v>
      </c>
      <c r="H32" s="3">
        <f t="shared" si="0"/>
        <v>4.9999999999999351E-4</v>
      </c>
      <c r="I32" s="3">
        <f t="shared" si="5"/>
        <v>7.0710678118653841E-4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0</v>
      </c>
      <c r="M32" s="3">
        <f t="shared" si="7"/>
        <v>0</v>
      </c>
    </row>
    <row r="33" spans="1:13" x14ac:dyDescent="0.3">
      <c r="A33" t="s">
        <v>20</v>
      </c>
      <c r="B33" s="3">
        <f t="shared" si="2"/>
        <v>1.2000000000000011E-2</v>
      </c>
      <c r="C33" s="3">
        <f t="shared" si="3"/>
        <v>2.1213203435596444E-2</v>
      </c>
      <c r="D33" s="3">
        <f t="shared" si="0"/>
        <v>4.9999999999999975E-3</v>
      </c>
      <c r="E33" s="3">
        <f t="shared" si="3"/>
        <v>9.899494936611665E-3</v>
      </c>
      <c r="F33" s="3">
        <f t="shared" si="0"/>
        <v>2.2500000000000006E-2</v>
      </c>
      <c r="G33" s="3">
        <f t="shared" si="4"/>
        <v>2.8991378028648453E-2</v>
      </c>
      <c r="H33" s="3">
        <f t="shared" si="0"/>
        <v>3.0000000000000027E-3</v>
      </c>
      <c r="I33" s="3">
        <f t="shared" si="5"/>
        <v>1.4142135623730963E-3</v>
      </c>
      <c r="J33" s="3">
        <f t="shared" si="0"/>
        <v>0</v>
      </c>
      <c r="K33" s="3">
        <f t="shared" si="6"/>
        <v>0</v>
      </c>
      <c r="L33" s="3">
        <f t="shared" si="0"/>
        <v>-1.0000000000000009E-3</v>
      </c>
      <c r="M33" s="3">
        <f t="shared" si="7"/>
        <v>1.4142135623730963E-3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3"/>
  <sheetViews>
    <sheetView topLeftCell="A18" workbookViewId="0">
      <selection activeCell="H39" sqref="H39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0.107</v>
      </c>
      <c r="C3">
        <v>9.2999999999999999E-2</v>
      </c>
      <c r="D3">
        <v>8.4000000000000005E-2</v>
      </c>
      <c r="E3">
        <v>9.0999999999999998E-2</v>
      </c>
      <c r="F3">
        <v>0.158</v>
      </c>
      <c r="G3">
        <v>0.13400000000000001</v>
      </c>
      <c r="H3">
        <v>8.5999999999999993E-2</v>
      </c>
      <c r="I3">
        <v>6.4000000000000001E-2</v>
      </c>
      <c r="J3">
        <v>5.1999999999999998E-2</v>
      </c>
      <c r="K3">
        <v>4.9000000000000002E-2</v>
      </c>
      <c r="L3">
        <v>0.121</v>
      </c>
      <c r="M3">
        <v>9.2999999999999999E-2</v>
      </c>
    </row>
    <row r="4" spans="1:13" x14ac:dyDescent="0.3">
      <c r="A4" t="s">
        <v>14</v>
      </c>
      <c r="B4">
        <v>0.13700000000000001</v>
      </c>
      <c r="C4">
        <v>0.14699999999999999</v>
      </c>
      <c r="D4">
        <v>7.9000000000000001E-2</v>
      </c>
      <c r="E4">
        <v>9.1999999999999998E-2</v>
      </c>
      <c r="F4">
        <v>0.157</v>
      </c>
      <c r="G4">
        <v>0.14000000000000001</v>
      </c>
      <c r="H4">
        <v>0.1</v>
      </c>
      <c r="I4">
        <v>9.7000000000000003E-2</v>
      </c>
      <c r="J4">
        <v>6.0999999999999999E-2</v>
      </c>
      <c r="K4">
        <v>5.6000000000000001E-2</v>
      </c>
      <c r="L4">
        <v>9.4E-2</v>
      </c>
      <c r="M4">
        <v>0.111</v>
      </c>
    </row>
    <row r="5" spans="1:13" x14ac:dyDescent="0.3">
      <c r="A5" t="s">
        <v>15</v>
      </c>
      <c r="B5">
        <v>0.14599999999999999</v>
      </c>
      <c r="C5">
        <v>0.156</v>
      </c>
      <c r="D5">
        <v>8.5999999999999993E-2</v>
      </c>
      <c r="E5">
        <v>8.2000000000000003E-2</v>
      </c>
      <c r="F5">
        <v>0.112</v>
      </c>
      <c r="G5">
        <v>0.114</v>
      </c>
      <c r="H5">
        <v>8.1000000000000003E-2</v>
      </c>
      <c r="I5">
        <v>6.2E-2</v>
      </c>
      <c r="J5">
        <v>9.4E-2</v>
      </c>
      <c r="K5">
        <v>0.11899999999999999</v>
      </c>
      <c r="L5">
        <v>0.114</v>
      </c>
      <c r="M5">
        <v>0.108</v>
      </c>
    </row>
    <row r="6" spans="1:13" x14ac:dyDescent="0.3">
      <c r="A6" t="s">
        <v>16</v>
      </c>
      <c r="B6">
        <v>0.185</v>
      </c>
      <c r="C6">
        <v>0.19900000000000001</v>
      </c>
      <c r="D6">
        <v>8.5000000000000006E-2</v>
      </c>
      <c r="E6">
        <v>9.4E-2</v>
      </c>
      <c r="F6">
        <v>0.13</v>
      </c>
      <c r="G6">
        <v>0.22900000000000001</v>
      </c>
      <c r="H6">
        <v>7.1999999999999995E-2</v>
      </c>
      <c r="I6">
        <v>0.115</v>
      </c>
      <c r="J6">
        <v>8.4000000000000005E-2</v>
      </c>
      <c r="K6">
        <v>8.5000000000000006E-2</v>
      </c>
      <c r="L6">
        <v>0.10100000000000001</v>
      </c>
      <c r="M6">
        <v>9.9000000000000005E-2</v>
      </c>
    </row>
    <row r="7" spans="1:13" x14ac:dyDescent="0.3">
      <c r="A7" t="s">
        <v>17</v>
      </c>
      <c r="B7">
        <v>0.13800000000000001</v>
      </c>
      <c r="C7">
        <v>0.152</v>
      </c>
      <c r="D7">
        <v>8.5000000000000006E-2</v>
      </c>
      <c r="E7">
        <v>0.10199999999999999</v>
      </c>
      <c r="F7">
        <v>0.124</v>
      </c>
      <c r="G7">
        <v>0.121</v>
      </c>
      <c r="H7">
        <v>0.106</v>
      </c>
      <c r="I7">
        <v>7.8E-2</v>
      </c>
      <c r="J7">
        <v>6.8000000000000005E-2</v>
      </c>
      <c r="K7">
        <v>7.0999999999999994E-2</v>
      </c>
      <c r="L7">
        <v>0.63500000000000001</v>
      </c>
      <c r="M7">
        <v>9.6000000000000002E-2</v>
      </c>
    </row>
    <row r="8" spans="1:13" x14ac:dyDescent="0.3">
      <c r="A8" t="s">
        <v>18</v>
      </c>
      <c r="B8">
        <v>0.127</v>
      </c>
      <c r="C8">
        <v>9.7000000000000003E-2</v>
      </c>
      <c r="D8">
        <v>7.4999999999999997E-2</v>
      </c>
      <c r="E8">
        <v>8.5999999999999993E-2</v>
      </c>
      <c r="F8">
        <v>0.11</v>
      </c>
      <c r="G8">
        <v>8.8999999999999996E-2</v>
      </c>
      <c r="H8">
        <v>7.3999999999999996E-2</v>
      </c>
      <c r="I8">
        <v>5.5E-2</v>
      </c>
      <c r="J8">
        <v>4.9000000000000002E-2</v>
      </c>
      <c r="K8">
        <v>6.2E-2</v>
      </c>
      <c r="L8">
        <v>0.35</v>
      </c>
      <c r="M8">
        <v>9.8000000000000004E-2</v>
      </c>
    </row>
    <row r="9" spans="1:13" x14ac:dyDescent="0.3">
      <c r="A9" t="s">
        <v>19</v>
      </c>
      <c r="B9">
        <v>0.158</v>
      </c>
      <c r="C9">
        <v>0.17399999999999999</v>
      </c>
      <c r="D9">
        <v>0.105</v>
      </c>
      <c r="E9">
        <v>0.112</v>
      </c>
      <c r="F9">
        <v>0.123</v>
      </c>
      <c r="G9">
        <v>0.115</v>
      </c>
      <c r="H9">
        <v>7.0000000000000007E-2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3">
      <c r="A10" t="s">
        <v>20</v>
      </c>
      <c r="B10">
        <v>0.223</v>
      </c>
      <c r="C10">
        <v>0.23300000000000001</v>
      </c>
      <c r="D10">
        <v>0.10299999999999999</v>
      </c>
      <c r="E10">
        <v>0.125</v>
      </c>
      <c r="F10">
        <v>0.27100000000000002</v>
      </c>
      <c r="G10">
        <v>0.16200000000000001</v>
      </c>
      <c r="H10">
        <v>9.9000000000000005E-2</v>
      </c>
      <c r="I10">
        <v>9.6000000000000002E-2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8.9999999999999941E-3</v>
      </c>
      <c r="C15" s="3">
        <f xml:space="preserve"> C3 - '+0.0 seg'!$C$3</f>
        <v>7.9999999999999932E-3</v>
      </c>
      <c r="D15" s="3">
        <f xml:space="preserve"> D3 - '+0.0 seg'!$D$3</f>
        <v>1.100000000000001E-2</v>
      </c>
      <c r="E15" s="3">
        <f xml:space="preserve"> E3 - '+0.0 seg'!$E$3</f>
        <v>4.0000000000000036E-3</v>
      </c>
      <c r="F15" s="3">
        <f xml:space="preserve"> F3 - '+0.0 seg'!$F$3</f>
        <v>1.100000000000001E-2</v>
      </c>
      <c r="G15" s="3">
        <f xml:space="preserve"> G3 - '+0.0 seg'!$G$3</f>
        <v>1.9000000000000003E-2</v>
      </c>
      <c r="H15" s="3">
        <f xml:space="preserve"> H3 - '+0.0 seg'!$H$3</f>
        <v>2.9999999999999888E-3</v>
      </c>
      <c r="I15" s="3">
        <f xml:space="preserve"> I3 - '+0.0 seg'!$I$3</f>
        <v>3.0000000000000027E-3</v>
      </c>
      <c r="J15" s="3">
        <f xml:space="preserve"> J3 - '+0.0 seg'!$J$3</f>
        <v>1.0000000000000009E-3</v>
      </c>
      <c r="K15" s="3">
        <f xml:space="preserve"> K3 - '+0.0 seg'!$K$3</f>
        <v>-2.9999999999999957E-3</v>
      </c>
      <c r="L15" s="3">
        <f xml:space="preserve"> L3 - '+0.0 seg'!$L$3</f>
        <v>1.0000000000000009E-3</v>
      </c>
      <c r="M15" s="3">
        <f xml:space="preserve"> M3 - '+0.0 seg'!$M$3</f>
        <v>1.0000000000000009E-3</v>
      </c>
    </row>
    <row r="16" spans="1:13" x14ac:dyDescent="0.3">
      <c r="A16" t="s">
        <v>14</v>
      </c>
      <c r="B16" s="3">
        <f xml:space="preserve"> B4 - '+0.0 seg'!$B$4</f>
        <v>9.000000000000008E-3</v>
      </c>
      <c r="C16" s="3">
        <f xml:space="preserve"> C4 - '+0.0 seg'!$C$4</f>
        <v>6.9999999999999785E-3</v>
      </c>
      <c r="D16" s="3">
        <f xml:space="preserve"> D4 - '+0.0 seg'!$D$4</f>
        <v>3.0000000000000027E-3</v>
      </c>
      <c r="E16" s="3">
        <f xml:space="preserve"> E4 - '+0.0 seg'!$E$4</f>
        <v>7.9999999999999932E-3</v>
      </c>
      <c r="F16" s="3">
        <f xml:space="preserve"> F4 - '+0.0 seg'!$F$4</f>
        <v>1.100000000000001E-2</v>
      </c>
      <c r="G16" s="3">
        <f xml:space="preserve"> G4 - '+0.0 seg'!$G$4</f>
        <v>1.3000000000000012E-2</v>
      </c>
      <c r="H16" s="3">
        <f xml:space="preserve"> H4 - '+0.0 seg'!$H$4</f>
        <v>9.000000000000008E-3</v>
      </c>
      <c r="I16" s="3">
        <f xml:space="preserve"> I4 - '+0.0 seg'!$I$4</f>
        <v>5.0000000000000044E-3</v>
      </c>
      <c r="J16" s="3">
        <f xml:space="preserve"> J4 - '+0.0 seg'!$J$4</f>
        <v>-1.0000000000000009E-3</v>
      </c>
      <c r="K16" s="3">
        <f xml:space="preserve"> K4 - '+0.0 seg'!$K$4</f>
        <v>4.0000000000000036E-3</v>
      </c>
      <c r="L16" s="3">
        <f xml:space="preserve"> L4 - '+0.0 seg'!$L$4</f>
        <v>0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5.0000000000000044E-3</v>
      </c>
      <c r="C17" s="3">
        <f xml:space="preserve"> C5 - '+0.0 seg'!$C$5</f>
        <v>1.4000000000000012E-2</v>
      </c>
      <c r="D17" s="3">
        <f xml:space="preserve"> D5 - '+0.0 seg'!$D$5</f>
        <v>5.9999999999999915E-3</v>
      </c>
      <c r="E17" s="3">
        <f xml:space="preserve"> E5 - '+0.0 seg'!$E$5</f>
        <v>2.0000000000000018E-3</v>
      </c>
      <c r="F17" s="3">
        <f xml:space="preserve"> F5 - '+0.0 seg'!$F$5</f>
        <v>1.0999999999999996E-2</v>
      </c>
      <c r="G17" s="3">
        <f xml:space="preserve"> G5 - '+0.0 seg'!$G$5</f>
        <v>-2.0000000000000018E-3</v>
      </c>
      <c r="H17" s="3">
        <f xml:space="preserve"> H5 - '+0.0 seg'!$H$5</f>
        <v>6.0000000000000053E-3</v>
      </c>
      <c r="I17" s="3">
        <f xml:space="preserve"> I5 - '+0.0 seg'!$I$5</f>
        <v>-7.0000000000000062E-3</v>
      </c>
      <c r="J17" s="3">
        <f xml:space="preserve"> J5 - '+0.0 seg'!$J$5</f>
        <v>0</v>
      </c>
      <c r="K17" s="3">
        <f xml:space="preserve"> K5 - '+0.0 seg'!$K$5</f>
        <v>1.0000000000000009E-3</v>
      </c>
      <c r="L17" s="3">
        <f xml:space="preserve"> L5 - '+0.0 seg'!$L$5</f>
        <v>0</v>
      </c>
      <c r="M17" s="3">
        <f xml:space="preserve"> M5 - '+0.0 seg'!$M$5</f>
        <v>1.0000000000000009E-3</v>
      </c>
    </row>
    <row r="18" spans="1:13" x14ac:dyDescent="0.3">
      <c r="A18" t="s">
        <v>16</v>
      </c>
      <c r="B18" s="3">
        <f xml:space="preserve"> B6 - '+0.0 seg'!$B$6</f>
        <v>1.3999999999999985E-2</v>
      </c>
      <c r="C18" s="3">
        <f xml:space="preserve"> C6 - '+0.0 seg'!$C$6</f>
        <v>1.5000000000000013E-2</v>
      </c>
      <c r="D18" s="3">
        <f xml:space="preserve"> D6 - '+0.0 seg'!$D$6</f>
        <v>3.0000000000000027E-3</v>
      </c>
      <c r="E18" s="3">
        <f xml:space="preserve"> E6 - '+0.0 seg'!$E$6</f>
        <v>3.0000000000000027E-3</v>
      </c>
      <c r="F18" s="3">
        <f xml:space="preserve"> F6 - '+0.0 seg'!$F$6</f>
        <v>1.2999999999999998E-2</v>
      </c>
      <c r="G18" s="3">
        <f xml:space="preserve"> G6 - '+0.0 seg'!$G$6</f>
        <v>0.03</v>
      </c>
      <c r="H18" s="3">
        <f xml:space="preserve"> H6 - '+0.0 seg'!$H$6</f>
        <v>3.9999999999999897E-3</v>
      </c>
      <c r="I18" s="3">
        <f xml:space="preserve"> I6 - '+0.0 seg'!$I$6</f>
        <v>6.0000000000000053E-3</v>
      </c>
      <c r="J18" s="3">
        <f xml:space="preserve"> J6 - '+0.0 seg'!$J$6</f>
        <v>1.0000000000000009E-3</v>
      </c>
      <c r="K18" s="3">
        <f xml:space="preserve"> K6 - '+0.0 seg'!$K$6</f>
        <v>1.0000000000000009E-3</v>
      </c>
      <c r="L18" s="3">
        <f xml:space="preserve"> L6 - '+0.0 seg'!$L$6</f>
        <v>0</v>
      </c>
      <c r="M18" s="3">
        <f xml:space="preserve"> M6 - '+0.0 seg'!$M$6</f>
        <v>2.0000000000000018E-3</v>
      </c>
    </row>
    <row r="19" spans="1:13" x14ac:dyDescent="0.3">
      <c r="A19" t="s">
        <v>17</v>
      </c>
      <c r="B19" s="3">
        <f xml:space="preserve"> B7 - '+0.0 seg'!$B$7</f>
        <v>4.0000000000000036E-3</v>
      </c>
      <c r="C19" s="3">
        <f xml:space="preserve"> C7 - '+0.0 seg'!$C$7</f>
        <v>1.0000000000000009E-3</v>
      </c>
      <c r="D19" s="3">
        <f xml:space="preserve"> D7 - '+0.0 seg'!$D$7</f>
        <v>5.0000000000000044E-3</v>
      </c>
      <c r="E19" s="3">
        <f xml:space="preserve"> E7 - '+0.0 seg'!$E$7</f>
        <v>1.3999999999999999E-2</v>
      </c>
      <c r="F19" s="3">
        <f xml:space="preserve"> F7 - '+0.0 seg'!$F$7</f>
        <v>1.1999999999999997E-2</v>
      </c>
      <c r="G19" s="3">
        <f xml:space="preserve"> G7 - '+0.0 seg'!$G$7</f>
        <v>1.8000000000000002E-2</v>
      </c>
      <c r="H19" s="3">
        <f xml:space="preserve"> H7 - '+0.0 seg'!$H$7</f>
        <v>1.1999999999999997E-2</v>
      </c>
      <c r="I19" s="3">
        <f xml:space="preserve"> I7 - '+0.0 seg'!$I$7</f>
        <v>-6.0000000000000053E-3</v>
      </c>
      <c r="J19" s="3">
        <f xml:space="preserve"> J7 - '+0.0 seg'!$J$7</f>
        <v>-1.0000000000000009E-3</v>
      </c>
      <c r="K19" s="3">
        <f xml:space="preserve"> K7 - '+0.0 seg'!$K$7</f>
        <v>1.9999999999999879E-3</v>
      </c>
      <c r="L19" s="3">
        <f xml:space="preserve"> L7 - '+0.0 seg'!$L$7</f>
        <v>-8.0000000000000071E-3</v>
      </c>
      <c r="M19" s="3">
        <f xml:space="preserve"> M7 - '+0.0 seg'!$M$7</f>
        <v>-1.0000000000000009E-3</v>
      </c>
    </row>
    <row r="20" spans="1:13" x14ac:dyDescent="0.3">
      <c r="A20" t="s">
        <v>18</v>
      </c>
      <c r="B20" s="3">
        <f xml:space="preserve"> B8 - '+0.0 seg'!$B$8</f>
        <v>1.0999999999999996E-2</v>
      </c>
      <c r="C20" s="3">
        <f xml:space="preserve"> C8 - '+0.0 seg'!$C$8</f>
        <v>6.0000000000000053E-3</v>
      </c>
      <c r="D20" s="3">
        <f xml:space="preserve"> D8 - '+0.0 seg'!$D$8</f>
        <v>-4.0000000000000036E-3</v>
      </c>
      <c r="E20" s="3">
        <f xml:space="preserve"> E8 - '+0.0 seg'!$E$8</f>
        <v>1.0999999999999996E-2</v>
      </c>
      <c r="F20" s="3">
        <f xml:space="preserve"> F8 - '+0.0 seg'!$F$8</f>
        <v>1.3999999999999999E-2</v>
      </c>
      <c r="G20" s="3">
        <f xml:space="preserve"> G8 - '+0.0 seg'!$G$8</f>
        <v>9.999999999999995E-3</v>
      </c>
      <c r="H20" s="3">
        <f xml:space="preserve"> H8 - '+0.0 seg'!$H$8</f>
        <v>-2.0000000000000018E-3</v>
      </c>
      <c r="I20" s="3">
        <f xml:space="preserve"> I8 - '+0.0 seg'!$I$8</f>
        <v>-3.9999999999999966E-3</v>
      </c>
      <c r="J20" s="3">
        <f xml:space="preserve"> J8 - '+0.0 seg'!$J$8</f>
        <v>-1.9999999999999948E-3</v>
      </c>
      <c r="K20" s="3">
        <f xml:space="preserve"> K8 - '+0.0 seg'!$K$8</f>
        <v>0</v>
      </c>
      <c r="L20" s="3">
        <f xml:space="preserve"> L8 - '+0.0 seg'!$L$8</f>
        <v>-1.9000000000000017E-2</v>
      </c>
      <c r="M20" s="3">
        <f xml:space="preserve"> M8 - '+0.0 seg'!$M$8</f>
        <v>1.0000000000000009E-3</v>
      </c>
    </row>
    <row r="21" spans="1:13" x14ac:dyDescent="0.3">
      <c r="A21" t="s">
        <v>19</v>
      </c>
      <c r="B21" s="3">
        <f xml:space="preserve"> B9 - '+0.0 seg'!$B$9</f>
        <v>7.0000000000000062E-3</v>
      </c>
      <c r="C21" s="3">
        <f xml:space="preserve"> C9 - '+0.0 seg'!$C$9</f>
        <v>1.1999999999999983E-2</v>
      </c>
      <c r="D21" s="3">
        <f xml:space="preserve"> D9 - '+0.0 seg'!$D$9</f>
        <v>4.9999999999999906E-3</v>
      </c>
      <c r="E21" s="3">
        <f xml:space="preserve"> E9 - '+0.0 seg'!$E$9</f>
        <v>7.0000000000000062E-3</v>
      </c>
      <c r="F21" s="3">
        <f xml:space="preserve"> F9 - '+0.0 seg'!$F$9</f>
        <v>6.9999999999999923E-3</v>
      </c>
      <c r="G21" s="3">
        <f xml:space="preserve"> G9 - '+0.0 seg'!$G$9</f>
        <v>1.7000000000000001E-2</v>
      </c>
      <c r="H21" s="3">
        <f xml:space="preserve"> H9 - '+0.0 seg'!$H$9</f>
        <v>0</v>
      </c>
      <c r="I21" s="3">
        <f xml:space="preserve"> I9 - '+0.0 seg'!$I$9</f>
        <v>0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</row>
    <row r="22" spans="1:13" x14ac:dyDescent="0.3">
      <c r="A22" t="s">
        <v>20</v>
      </c>
      <c r="B22" s="3">
        <f xml:space="preserve"> B10 - '+0.0 seg'!$B$10</f>
        <v>4.0000000000000036E-3</v>
      </c>
      <c r="C22" s="3">
        <f xml:space="preserve"> C10 - '+0.0 seg'!$C$10</f>
        <v>2.8000000000000025E-2</v>
      </c>
      <c r="D22" s="3">
        <f xml:space="preserve"> D10 - '+0.0 seg'!$D$10</f>
        <v>-2.0000000000000018E-3</v>
      </c>
      <c r="E22" s="3">
        <f xml:space="preserve"> E10 - '+0.0 seg'!$E$10</f>
        <v>1.2999999999999998E-2</v>
      </c>
      <c r="F22" s="3">
        <f xml:space="preserve"> F10 - '+0.0 seg'!$F$10</f>
        <v>4.5000000000000012E-2</v>
      </c>
      <c r="G22" s="3">
        <f xml:space="preserve"> G10 - '+0.0 seg'!$G$10</f>
        <v>3.0000000000000027E-3</v>
      </c>
      <c r="H22" s="3">
        <f xml:space="preserve"> H10 - '+0.0 seg'!$H$10</f>
        <v>2.0000000000000018E-3</v>
      </c>
      <c r="I22" s="3">
        <f xml:space="preserve"> I10 - '+0.0 seg'!$I$10</f>
        <v>4.0000000000000036E-3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-2.0000000000000018E-3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8.4999999999999937E-3</v>
      </c>
      <c r="C26" s="3">
        <f>STDEV(B15:C15)</f>
        <v>7.0710678118654816E-4</v>
      </c>
      <c r="D26" s="3">
        <f t="shared" ref="D26:L33" si="0">AVERAGE(D15:E15)</f>
        <v>7.5000000000000067E-3</v>
      </c>
      <c r="E26" s="3">
        <f>STDEV(D15:E15)</f>
        <v>4.9497474683058368E-3</v>
      </c>
      <c r="F26" s="3">
        <f t="shared" si="0"/>
        <v>1.5000000000000006E-2</v>
      </c>
      <c r="G26" s="3">
        <f>STDEV(F15:G15)</f>
        <v>5.6568542494923775E-3</v>
      </c>
      <c r="H26" s="3">
        <f t="shared" si="0"/>
        <v>2.9999999999999957E-3</v>
      </c>
      <c r="I26" s="3">
        <f>STDEV(H15:I15)</f>
        <v>9.8130778667735948E-18</v>
      </c>
      <c r="J26" s="3">
        <f t="shared" si="0"/>
        <v>-9.9999999999999742E-4</v>
      </c>
      <c r="K26" s="3">
        <f>STDEV(J15:K15)</f>
        <v>2.8284271247461879E-3</v>
      </c>
      <c r="L26" s="3">
        <f t="shared" ref="L26:M26" si="1">AVERAGE(L15:M15)</f>
        <v>1.0000000000000009E-3</v>
      </c>
      <c r="M26" s="3">
        <f>STDEV(L15:M15)</f>
        <v>0</v>
      </c>
    </row>
    <row r="27" spans="1:13" x14ac:dyDescent="0.3">
      <c r="A27" t="s">
        <v>14</v>
      </c>
      <c r="B27" s="3">
        <f t="shared" ref="B27:B33" si="2">AVERAGE(B16:C16)</f>
        <v>7.9999999999999932E-3</v>
      </c>
      <c r="C27" s="3">
        <f t="shared" ref="C27:E33" si="3">STDEV(B16:C16)</f>
        <v>1.4142135623731161E-3</v>
      </c>
      <c r="D27" s="3">
        <f t="shared" si="0"/>
        <v>5.4999999999999979E-3</v>
      </c>
      <c r="E27" s="3">
        <f t="shared" si="3"/>
        <v>3.5355339059327307E-3</v>
      </c>
      <c r="F27" s="3">
        <f t="shared" si="0"/>
        <v>1.2000000000000011E-2</v>
      </c>
      <c r="G27" s="3">
        <f t="shared" ref="G27:G33" si="4">STDEV(F16:G16)</f>
        <v>1.4142135623730963E-3</v>
      </c>
      <c r="H27" s="3">
        <f t="shared" si="0"/>
        <v>7.0000000000000062E-3</v>
      </c>
      <c r="I27" s="3">
        <f t="shared" ref="I27:I33" si="5">STDEV(H16:I16)</f>
        <v>2.8284271247461935E-3</v>
      </c>
      <c r="J27" s="3">
        <f t="shared" si="0"/>
        <v>1.5000000000000013E-3</v>
      </c>
      <c r="K27" s="3">
        <f t="shared" ref="K27:K33" si="6">STDEV(J16:K16)</f>
        <v>3.5355339059327407E-3</v>
      </c>
      <c r="L27" s="3">
        <f t="shared" si="0"/>
        <v>0</v>
      </c>
      <c r="M27" s="3">
        <f t="shared" ref="M27:M33" si="7">STDEV(L16:M16)</f>
        <v>0</v>
      </c>
    </row>
    <row r="28" spans="1:13" x14ac:dyDescent="0.3">
      <c r="A28" t="s">
        <v>15</v>
      </c>
      <c r="B28" s="3">
        <f t="shared" si="2"/>
        <v>9.5000000000000084E-3</v>
      </c>
      <c r="C28" s="3">
        <f t="shared" si="3"/>
        <v>6.3639610306789329E-3</v>
      </c>
      <c r="D28" s="3">
        <f t="shared" si="0"/>
        <v>3.9999999999999966E-3</v>
      </c>
      <c r="E28" s="3">
        <f t="shared" si="3"/>
        <v>2.8284271247461835E-3</v>
      </c>
      <c r="F28" s="3">
        <f t="shared" si="0"/>
        <v>4.4999999999999971E-3</v>
      </c>
      <c r="G28" s="3">
        <f t="shared" si="4"/>
        <v>9.1923881554251165E-3</v>
      </c>
      <c r="H28" s="3">
        <f t="shared" si="0"/>
        <v>-5.0000000000000044E-4</v>
      </c>
      <c r="I28" s="3">
        <f t="shared" si="5"/>
        <v>9.1923881554251251E-3</v>
      </c>
      <c r="J28" s="3">
        <f t="shared" si="0"/>
        <v>5.0000000000000044E-4</v>
      </c>
      <c r="K28" s="3">
        <f t="shared" si="6"/>
        <v>7.0710678118654816E-4</v>
      </c>
      <c r="L28" s="3">
        <f t="shared" si="0"/>
        <v>5.0000000000000044E-4</v>
      </c>
      <c r="M28" s="3">
        <f t="shared" si="7"/>
        <v>7.0710678118654816E-4</v>
      </c>
    </row>
    <row r="29" spans="1:13" x14ac:dyDescent="0.3">
      <c r="A29" t="s">
        <v>16</v>
      </c>
      <c r="B29" s="3">
        <f t="shared" si="2"/>
        <v>1.4499999999999999E-2</v>
      </c>
      <c r="C29" s="3">
        <f t="shared" si="3"/>
        <v>7.0710678118656779E-4</v>
      </c>
      <c r="D29" s="3">
        <f t="shared" si="0"/>
        <v>3.0000000000000027E-3</v>
      </c>
      <c r="E29" s="3">
        <f t="shared" si="3"/>
        <v>0</v>
      </c>
      <c r="F29" s="3">
        <f t="shared" si="0"/>
        <v>2.1499999999999998E-2</v>
      </c>
      <c r="G29" s="3">
        <f t="shared" si="4"/>
        <v>1.2020815280171307E-2</v>
      </c>
      <c r="H29" s="3">
        <f t="shared" si="0"/>
        <v>4.9999999999999975E-3</v>
      </c>
      <c r="I29" s="3">
        <f t="shared" si="5"/>
        <v>1.4142135623731061E-3</v>
      </c>
      <c r="J29" s="3">
        <f t="shared" si="0"/>
        <v>1.0000000000000009E-3</v>
      </c>
      <c r="K29" s="3">
        <f t="shared" si="6"/>
        <v>0</v>
      </c>
      <c r="L29" s="3">
        <f t="shared" si="0"/>
        <v>1.0000000000000009E-3</v>
      </c>
      <c r="M29" s="3">
        <f t="shared" si="7"/>
        <v>1.4142135623730963E-3</v>
      </c>
    </row>
    <row r="30" spans="1:13" x14ac:dyDescent="0.3">
      <c r="A30" t="s">
        <v>17</v>
      </c>
      <c r="B30" s="3">
        <f t="shared" si="2"/>
        <v>2.5000000000000022E-3</v>
      </c>
      <c r="C30" s="3">
        <f t="shared" si="3"/>
        <v>2.1213203435596446E-3</v>
      </c>
      <c r="D30" s="3">
        <f t="shared" si="0"/>
        <v>9.5000000000000015E-3</v>
      </c>
      <c r="E30" s="3">
        <f t="shared" si="3"/>
        <v>6.3639610306789243E-3</v>
      </c>
      <c r="F30" s="3">
        <f t="shared" si="0"/>
        <v>1.4999999999999999E-2</v>
      </c>
      <c r="G30" s="3">
        <f t="shared" si="4"/>
        <v>4.2426406871192857E-3</v>
      </c>
      <c r="H30" s="3">
        <f t="shared" si="0"/>
        <v>2.9999999999999957E-3</v>
      </c>
      <c r="I30" s="3">
        <f t="shared" si="5"/>
        <v>1.2727922061357857E-2</v>
      </c>
      <c r="J30" s="3">
        <f t="shared" si="0"/>
        <v>4.9999999999999351E-4</v>
      </c>
      <c r="K30" s="3">
        <f t="shared" si="6"/>
        <v>2.1213203435596346E-3</v>
      </c>
      <c r="L30" s="3">
        <f t="shared" si="0"/>
        <v>-4.500000000000004E-3</v>
      </c>
      <c r="M30" s="3">
        <f t="shared" si="7"/>
        <v>4.9497474683058377E-3</v>
      </c>
    </row>
    <row r="31" spans="1:13" x14ac:dyDescent="0.3">
      <c r="A31" t="s">
        <v>18</v>
      </c>
      <c r="B31" s="3">
        <f t="shared" si="2"/>
        <v>8.5000000000000006E-3</v>
      </c>
      <c r="C31" s="3">
        <f t="shared" si="3"/>
        <v>3.5355339059327307E-3</v>
      </c>
      <c r="D31" s="3">
        <f t="shared" si="0"/>
        <v>3.4999999999999962E-3</v>
      </c>
      <c r="E31" s="3">
        <f t="shared" si="3"/>
        <v>1.0606601717798213E-2</v>
      </c>
      <c r="F31" s="3">
        <f t="shared" si="0"/>
        <v>1.1999999999999997E-2</v>
      </c>
      <c r="G31" s="3">
        <f t="shared" si="4"/>
        <v>2.8284271247461927E-3</v>
      </c>
      <c r="H31" s="3">
        <f t="shared" si="0"/>
        <v>-2.9999999999999992E-3</v>
      </c>
      <c r="I31" s="3">
        <f t="shared" si="5"/>
        <v>1.4142135623730913E-3</v>
      </c>
      <c r="J31" s="3">
        <f t="shared" si="0"/>
        <v>-9.9999999999999742E-4</v>
      </c>
      <c r="K31" s="3">
        <f t="shared" si="6"/>
        <v>1.4142135623730913E-3</v>
      </c>
      <c r="L31" s="3">
        <f t="shared" si="0"/>
        <v>-9.000000000000008E-3</v>
      </c>
      <c r="M31" s="3">
        <f t="shared" si="7"/>
        <v>1.4142135623730965E-2</v>
      </c>
    </row>
    <row r="32" spans="1:13" x14ac:dyDescent="0.3">
      <c r="A32" t="s">
        <v>19</v>
      </c>
      <c r="B32" s="3">
        <f t="shared" si="2"/>
        <v>9.4999999999999946E-3</v>
      </c>
      <c r="C32" s="3">
        <f t="shared" si="3"/>
        <v>3.5355339059327195E-3</v>
      </c>
      <c r="D32" s="3">
        <f t="shared" si="0"/>
        <v>5.9999999999999984E-3</v>
      </c>
      <c r="E32" s="3">
        <f t="shared" si="3"/>
        <v>1.4142135623731061E-3</v>
      </c>
      <c r="F32" s="3">
        <f t="shared" si="0"/>
        <v>1.1999999999999997E-2</v>
      </c>
      <c r="G32" s="3">
        <f t="shared" si="4"/>
        <v>7.0710678118654805E-3</v>
      </c>
      <c r="H32" s="3">
        <f t="shared" si="0"/>
        <v>0</v>
      </c>
      <c r="I32" s="3">
        <f t="shared" si="5"/>
        <v>0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0</v>
      </c>
      <c r="M32" s="3">
        <f t="shared" si="7"/>
        <v>0</v>
      </c>
    </row>
    <row r="33" spans="1:13" x14ac:dyDescent="0.3">
      <c r="A33" t="s">
        <v>20</v>
      </c>
      <c r="B33" s="3">
        <f t="shared" si="2"/>
        <v>1.6000000000000014E-2</v>
      </c>
      <c r="C33" s="3">
        <f t="shared" si="3"/>
        <v>1.6970562748477157E-2</v>
      </c>
      <c r="D33" s="3">
        <f t="shared" si="0"/>
        <v>5.4999999999999979E-3</v>
      </c>
      <c r="E33" s="3">
        <f t="shared" si="3"/>
        <v>1.0606601717798213E-2</v>
      </c>
      <c r="F33" s="3">
        <f t="shared" si="0"/>
        <v>2.4000000000000007E-2</v>
      </c>
      <c r="G33" s="3">
        <f t="shared" si="4"/>
        <v>2.9698484809835002E-2</v>
      </c>
      <c r="H33" s="3">
        <f t="shared" si="0"/>
        <v>3.0000000000000027E-3</v>
      </c>
      <c r="I33" s="3">
        <f t="shared" si="5"/>
        <v>1.4142135623730963E-3</v>
      </c>
      <c r="J33" s="3">
        <f t="shared" si="0"/>
        <v>0</v>
      </c>
      <c r="K33" s="3">
        <f t="shared" si="6"/>
        <v>0</v>
      </c>
      <c r="L33" s="3">
        <f t="shared" si="0"/>
        <v>-1.0000000000000009E-3</v>
      </c>
      <c r="M33" s="3">
        <f t="shared" si="7"/>
        <v>1.4142135623730963E-3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3"/>
  <sheetViews>
    <sheetView tabSelected="1" workbookViewId="0">
      <selection activeCell="O32" sqref="O32"/>
    </sheetView>
  </sheetViews>
  <sheetFormatPr baseColWidth="10" defaultColWidth="8.88671875" defaultRowHeight="14.4" x14ac:dyDescent="0.3"/>
  <sheetData>
    <row r="1" spans="1:13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0.107</v>
      </c>
      <c r="C3">
        <v>9.4E-2</v>
      </c>
      <c r="D3">
        <v>8.4000000000000005E-2</v>
      </c>
      <c r="E3">
        <v>9.8000000000000004E-2</v>
      </c>
      <c r="F3">
        <v>0.159</v>
      </c>
      <c r="G3">
        <v>0.13500000000000001</v>
      </c>
      <c r="H3">
        <v>8.5999999999999993E-2</v>
      </c>
      <c r="I3">
        <v>6.5000000000000002E-2</v>
      </c>
      <c r="J3">
        <v>5.3999999999999999E-2</v>
      </c>
      <c r="K3">
        <v>4.9000000000000002E-2</v>
      </c>
      <c r="L3">
        <v>0.121</v>
      </c>
      <c r="M3">
        <v>9.2999999999999999E-2</v>
      </c>
    </row>
    <row r="4" spans="1:13" x14ac:dyDescent="0.3">
      <c r="A4" t="s">
        <v>14</v>
      </c>
      <c r="B4">
        <v>0.13700000000000001</v>
      </c>
      <c r="C4">
        <v>0.14699999999999999</v>
      </c>
      <c r="D4">
        <v>8.1000000000000003E-2</v>
      </c>
      <c r="E4">
        <v>9.6000000000000002E-2</v>
      </c>
      <c r="F4">
        <v>0.158</v>
      </c>
      <c r="G4">
        <v>0.14099999999999999</v>
      </c>
      <c r="H4">
        <v>0.10100000000000001</v>
      </c>
      <c r="I4">
        <v>9.7000000000000003E-2</v>
      </c>
      <c r="J4">
        <v>6.2E-2</v>
      </c>
      <c r="K4">
        <v>5.6000000000000001E-2</v>
      </c>
      <c r="L4">
        <v>9.4E-2</v>
      </c>
      <c r="M4">
        <v>0.111</v>
      </c>
    </row>
    <row r="5" spans="1:13" x14ac:dyDescent="0.3">
      <c r="A5" t="s">
        <v>15</v>
      </c>
      <c r="B5">
        <v>0.14699999999999999</v>
      </c>
      <c r="C5">
        <v>0.156</v>
      </c>
      <c r="D5">
        <v>8.5999999999999993E-2</v>
      </c>
      <c r="E5">
        <v>8.4000000000000005E-2</v>
      </c>
      <c r="F5">
        <v>0.113</v>
      </c>
      <c r="G5">
        <v>0.115</v>
      </c>
      <c r="H5">
        <v>8.1000000000000003E-2</v>
      </c>
      <c r="I5">
        <v>6.2E-2</v>
      </c>
      <c r="J5">
        <v>9.4E-2</v>
      </c>
      <c r="K5">
        <v>0.11899999999999999</v>
      </c>
      <c r="L5">
        <v>0.114</v>
      </c>
      <c r="M5">
        <v>0.108</v>
      </c>
    </row>
    <row r="6" spans="1:13" x14ac:dyDescent="0.3">
      <c r="A6" t="s">
        <v>16</v>
      </c>
      <c r="B6">
        <v>0.187</v>
      </c>
      <c r="C6">
        <v>0.20300000000000001</v>
      </c>
      <c r="D6">
        <v>8.5000000000000006E-2</v>
      </c>
      <c r="E6">
        <v>9.2999999999999999E-2</v>
      </c>
      <c r="F6">
        <v>0.13</v>
      </c>
      <c r="G6">
        <v>0.23100000000000001</v>
      </c>
      <c r="H6">
        <v>7.1999999999999995E-2</v>
      </c>
      <c r="I6">
        <v>0.115</v>
      </c>
      <c r="J6">
        <v>8.4000000000000005E-2</v>
      </c>
      <c r="K6">
        <v>8.5000000000000006E-2</v>
      </c>
      <c r="L6">
        <v>0.10100000000000001</v>
      </c>
      <c r="M6">
        <v>9.9000000000000005E-2</v>
      </c>
    </row>
    <row r="7" spans="1:13" x14ac:dyDescent="0.3">
      <c r="A7" t="s">
        <v>17</v>
      </c>
      <c r="B7">
        <v>0.13900000000000001</v>
      </c>
      <c r="C7">
        <v>0.158</v>
      </c>
      <c r="D7">
        <v>8.5000000000000006E-2</v>
      </c>
      <c r="E7">
        <v>0.10199999999999999</v>
      </c>
      <c r="F7">
        <v>0.124</v>
      </c>
      <c r="G7">
        <v>0.121</v>
      </c>
      <c r="H7">
        <v>0.107</v>
      </c>
      <c r="I7">
        <v>7.8E-2</v>
      </c>
      <c r="J7">
        <v>6.9000000000000006E-2</v>
      </c>
      <c r="K7">
        <v>7.1999999999999995E-2</v>
      </c>
      <c r="L7">
        <v>0.63200000000000001</v>
      </c>
      <c r="M7">
        <v>9.6000000000000002E-2</v>
      </c>
    </row>
    <row r="8" spans="1:13" x14ac:dyDescent="0.3">
      <c r="A8" t="s">
        <v>18</v>
      </c>
      <c r="B8">
        <v>0.127</v>
      </c>
      <c r="C8">
        <v>9.9000000000000005E-2</v>
      </c>
      <c r="D8">
        <v>7.5999999999999998E-2</v>
      </c>
      <c r="E8">
        <v>8.5999999999999993E-2</v>
      </c>
      <c r="F8">
        <v>0.109</v>
      </c>
      <c r="G8">
        <v>0.09</v>
      </c>
      <c r="H8">
        <v>7.3999999999999996E-2</v>
      </c>
      <c r="I8">
        <v>5.5E-2</v>
      </c>
      <c r="J8">
        <v>4.8000000000000001E-2</v>
      </c>
      <c r="K8">
        <v>6.2E-2</v>
      </c>
      <c r="L8">
        <v>0.35</v>
      </c>
      <c r="M8">
        <v>9.8000000000000004E-2</v>
      </c>
    </row>
    <row r="9" spans="1:13" x14ac:dyDescent="0.3">
      <c r="A9" t="s">
        <v>19</v>
      </c>
      <c r="B9">
        <v>0.159</v>
      </c>
      <c r="C9">
        <v>0.17499999999999999</v>
      </c>
      <c r="D9">
        <v>0.104</v>
      </c>
      <c r="E9">
        <v>0.112</v>
      </c>
      <c r="F9">
        <v>0.123</v>
      </c>
      <c r="G9">
        <v>0.115</v>
      </c>
      <c r="H9">
        <v>7.0999999999999994E-2</v>
      </c>
      <c r="I9">
        <v>7.3999999999999996E-2</v>
      </c>
      <c r="J9">
        <v>0.11600000000000001</v>
      </c>
      <c r="K9">
        <v>0.115</v>
      </c>
      <c r="L9">
        <v>0.104</v>
      </c>
      <c r="M9">
        <v>0.13300000000000001</v>
      </c>
    </row>
    <row r="10" spans="1:13" x14ac:dyDescent="0.3">
      <c r="A10" t="s">
        <v>20</v>
      </c>
      <c r="B10">
        <v>0.218</v>
      </c>
      <c r="C10">
        <v>0.23400000000000001</v>
      </c>
      <c r="D10">
        <v>0.10199999999999999</v>
      </c>
      <c r="E10">
        <v>0.125</v>
      </c>
      <c r="F10">
        <v>0.27300000000000002</v>
      </c>
      <c r="G10">
        <v>0.16200000000000001</v>
      </c>
      <c r="H10">
        <v>9.9000000000000005E-2</v>
      </c>
      <c r="I10">
        <v>9.6000000000000002E-2</v>
      </c>
      <c r="J10">
        <v>9.6000000000000002E-2</v>
      </c>
      <c r="K10">
        <v>0.125</v>
      </c>
      <c r="L10">
        <v>0.125</v>
      </c>
      <c r="M10">
        <v>9.4E-2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3">
      <c r="A15" t="s">
        <v>13</v>
      </c>
      <c r="B15" s="3">
        <f xml:space="preserve"> B3 - '+0.0 seg'!$B$3</f>
        <v>8.9999999999999941E-3</v>
      </c>
      <c r="C15" s="3">
        <f xml:space="preserve"> C3 - '+0.0 seg'!$C$3</f>
        <v>8.9999999999999941E-3</v>
      </c>
      <c r="D15" s="3">
        <f xml:space="preserve"> D3 - '+0.0 seg'!$D$3</f>
        <v>1.100000000000001E-2</v>
      </c>
      <c r="E15" s="3">
        <f xml:space="preserve"> E3 - '+0.0 seg'!$E$3</f>
        <v>1.100000000000001E-2</v>
      </c>
      <c r="F15" s="3">
        <f xml:space="preserve"> F3 - '+0.0 seg'!$F$3</f>
        <v>1.2000000000000011E-2</v>
      </c>
      <c r="G15" s="3">
        <f xml:space="preserve"> G3 - '+0.0 seg'!$G$3</f>
        <v>2.0000000000000004E-2</v>
      </c>
      <c r="H15" s="3">
        <f xml:space="preserve"> H3 - '+0.0 seg'!$H$3</f>
        <v>2.9999999999999888E-3</v>
      </c>
      <c r="I15" s="3">
        <f xml:space="preserve"> I3 - '+0.0 seg'!$I$3</f>
        <v>4.0000000000000036E-3</v>
      </c>
      <c r="J15" s="3">
        <f xml:space="preserve"> J3 - '+0.0 seg'!$J$3</f>
        <v>3.0000000000000027E-3</v>
      </c>
      <c r="K15" s="3">
        <f xml:space="preserve"> K3 - '+0.0 seg'!$K$3</f>
        <v>-2.9999999999999957E-3</v>
      </c>
      <c r="L15" s="3">
        <f xml:space="preserve"> L3 - '+0.0 seg'!$L$3</f>
        <v>1.0000000000000009E-3</v>
      </c>
      <c r="M15" s="3">
        <f xml:space="preserve"> M3 - '+0.0 seg'!$M$3</f>
        <v>1.0000000000000009E-3</v>
      </c>
    </row>
    <row r="16" spans="1:13" x14ac:dyDescent="0.3">
      <c r="A16" t="s">
        <v>14</v>
      </c>
      <c r="B16" s="3">
        <f xml:space="preserve"> B4 - '+0.0 seg'!$B$4</f>
        <v>9.000000000000008E-3</v>
      </c>
      <c r="C16" s="3">
        <f xml:space="preserve"> C4 - '+0.0 seg'!$C$4</f>
        <v>6.9999999999999785E-3</v>
      </c>
      <c r="D16" s="3">
        <f xml:space="preserve"> D4 - '+0.0 seg'!$D$4</f>
        <v>5.0000000000000044E-3</v>
      </c>
      <c r="E16" s="3">
        <f xml:space="preserve"> E4 - '+0.0 seg'!$E$4</f>
        <v>1.1999999999999997E-2</v>
      </c>
      <c r="F16" s="3">
        <f xml:space="preserve"> F4 - '+0.0 seg'!$F$4</f>
        <v>1.2000000000000011E-2</v>
      </c>
      <c r="G16" s="3">
        <f xml:space="preserve"> G4 - '+0.0 seg'!$G$4</f>
        <v>1.3999999999999985E-2</v>
      </c>
      <c r="H16" s="3">
        <f xml:space="preserve"> H4 - '+0.0 seg'!$H$4</f>
        <v>1.0000000000000009E-2</v>
      </c>
      <c r="I16" s="3">
        <f xml:space="preserve"> I4 - '+0.0 seg'!$I$4</f>
        <v>5.0000000000000044E-3</v>
      </c>
      <c r="J16" s="3">
        <f xml:space="preserve"> J4 - '+0.0 seg'!$J$4</f>
        <v>0</v>
      </c>
      <c r="K16" s="3">
        <f xml:space="preserve"> K4 - '+0.0 seg'!$K$4</f>
        <v>4.0000000000000036E-3</v>
      </c>
      <c r="L16" s="3">
        <f xml:space="preserve"> L4 - '+0.0 seg'!$L$4</f>
        <v>0</v>
      </c>
      <c r="M16" s="3">
        <f xml:space="preserve"> M4 - '+0.0 seg'!$M$4</f>
        <v>0</v>
      </c>
    </row>
    <row r="17" spans="1:13" x14ac:dyDescent="0.3">
      <c r="A17" t="s">
        <v>15</v>
      </c>
      <c r="B17" s="3">
        <f xml:space="preserve"> B5 - '+0.0 seg'!$B$5</f>
        <v>6.0000000000000053E-3</v>
      </c>
      <c r="C17" s="3">
        <f xml:space="preserve"> C5 - '+0.0 seg'!$C$5</f>
        <v>1.4000000000000012E-2</v>
      </c>
      <c r="D17" s="3">
        <f xml:space="preserve"> D5 - '+0.0 seg'!$D$5</f>
        <v>5.9999999999999915E-3</v>
      </c>
      <c r="E17" s="3">
        <f xml:space="preserve"> E5 - '+0.0 seg'!$E$5</f>
        <v>4.0000000000000036E-3</v>
      </c>
      <c r="F17" s="3">
        <f xml:space="preserve"> F5 - '+0.0 seg'!$F$5</f>
        <v>1.1999999999999997E-2</v>
      </c>
      <c r="G17" s="3">
        <f xml:space="preserve"> G5 - '+0.0 seg'!$G$5</f>
        <v>-1.0000000000000009E-3</v>
      </c>
      <c r="H17" s="3">
        <f xml:space="preserve"> H5 - '+0.0 seg'!$H$5</f>
        <v>6.0000000000000053E-3</v>
      </c>
      <c r="I17" s="3">
        <f xml:space="preserve"> I5 - '+0.0 seg'!$I$5</f>
        <v>-7.0000000000000062E-3</v>
      </c>
      <c r="J17" s="3">
        <f xml:space="preserve"> J5 - '+0.0 seg'!$J$5</f>
        <v>0</v>
      </c>
      <c r="K17" s="3">
        <f xml:space="preserve"> K5 - '+0.0 seg'!$K$5</f>
        <v>1.0000000000000009E-3</v>
      </c>
      <c r="L17" s="3">
        <f xml:space="preserve"> L5 - '+0.0 seg'!$L$5</f>
        <v>0</v>
      </c>
      <c r="M17" s="3">
        <f xml:space="preserve"> M5 - '+0.0 seg'!$M$5</f>
        <v>1.0000000000000009E-3</v>
      </c>
    </row>
    <row r="18" spans="1:13" x14ac:dyDescent="0.3">
      <c r="A18" t="s">
        <v>16</v>
      </c>
      <c r="B18" s="3">
        <f xml:space="preserve"> B6 - '+0.0 seg'!$B$6</f>
        <v>1.5999999999999986E-2</v>
      </c>
      <c r="C18" s="3">
        <f xml:space="preserve"> C6 - '+0.0 seg'!$C$6</f>
        <v>1.9000000000000017E-2</v>
      </c>
      <c r="D18" s="3">
        <f xml:space="preserve"> D6 - '+0.0 seg'!$D$6</f>
        <v>3.0000000000000027E-3</v>
      </c>
      <c r="E18" s="3">
        <f xml:space="preserve"> E6 - '+0.0 seg'!$E$6</f>
        <v>2.0000000000000018E-3</v>
      </c>
      <c r="F18" s="3">
        <f xml:space="preserve"> F6 - '+0.0 seg'!$F$6</f>
        <v>1.2999999999999998E-2</v>
      </c>
      <c r="G18" s="3">
        <f xml:space="preserve"> G6 - '+0.0 seg'!$G$6</f>
        <v>3.2000000000000001E-2</v>
      </c>
      <c r="H18" s="3">
        <f xml:space="preserve"> H6 - '+0.0 seg'!$H$6</f>
        <v>3.9999999999999897E-3</v>
      </c>
      <c r="I18" s="3">
        <f xml:space="preserve"> I6 - '+0.0 seg'!$I$6</f>
        <v>6.0000000000000053E-3</v>
      </c>
      <c r="J18" s="3">
        <f xml:space="preserve"> J6 - '+0.0 seg'!$J$6</f>
        <v>1.0000000000000009E-3</v>
      </c>
      <c r="K18" s="3">
        <f xml:space="preserve"> K6 - '+0.0 seg'!$K$6</f>
        <v>1.0000000000000009E-3</v>
      </c>
      <c r="L18" s="3">
        <f xml:space="preserve"> L6 - '+0.0 seg'!$L$6</f>
        <v>0</v>
      </c>
      <c r="M18" s="3">
        <f xml:space="preserve"> M6 - '+0.0 seg'!$M$6</f>
        <v>2.0000000000000018E-3</v>
      </c>
    </row>
    <row r="19" spans="1:13" x14ac:dyDescent="0.3">
      <c r="A19" t="s">
        <v>17</v>
      </c>
      <c r="B19" s="3">
        <f xml:space="preserve"> B7 - '+0.0 seg'!$B$7</f>
        <v>5.0000000000000044E-3</v>
      </c>
      <c r="C19" s="3">
        <f xml:space="preserve"> C7 - '+0.0 seg'!$C$7</f>
        <v>7.0000000000000062E-3</v>
      </c>
      <c r="D19" s="3">
        <f xml:space="preserve"> D7 - '+0.0 seg'!$D$7</f>
        <v>5.0000000000000044E-3</v>
      </c>
      <c r="E19" s="3">
        <f xml:space="preserve"> E7 - '+0.0 seg'!$E$7</f>
        <v>1.3999999999999999E-2</v>
      </c>
      <c r="F19" s="3">
        <f xml:space="preserve"> F7 - '+0.0 seg'!$F$7</f>
        <v>1.1999999999999997E-2</v>
      </c>
      <c r="G19" s="3">
        <f xml:space="preserve"> G7 - '+0.0 seg'!$G$7</f>
        <v>1.8000000000000002E-2</v>
      </c>
      <c r="H19" s="3">
        <f xml:space="preserve"> H7 - '+0.0 seg'!$H$7</f>
        <v>1.2999999999999998E-2</v>
      </c>
      <c r="I19" s="3">
        <f xml:space="preserve"> I7 - '+0.0 seg'!$I$7</f>
        <v>-6.0000000000000053E-3</v>
      </c>
      <c r="J19" s="3">
        <f xml:space="preserve"> J7 - '+0.0 seg'!$J$7</f>
        <v>0</v>
      </c>
      <c r="K19" s="3">
        <f xml:space="preserve"> K7 - '+0.0 seg'!$K$7</f>
        <v>2.9999999999999888E-3</v>
      </c>
      <c r="L19" s="3">
        <f xml:space="preserve"> L7 - '+0.0 seg'!$L$7</f>
        <v>-1.100000000000001E-2</v>
      </c>
      <c r="M19" s="3">
        <f xml:space="preserve"> M7 - '+0.0 seg'!$M$7</f>
        <v>-1.0000000000000009E-3</v>
      </c>
    </row>
    <row r="20" spans="1:13" x14ac:dyDescent="0.3">
      <c r="A20" t="s">
        <v>18</v>
      </c>
      <c r="B20" s="3">
        <f xml:space="preserve"> B8 - '+0.0 seg'!$B$8</f>
        <v>1.0999999999999996E-2</v>
      </c>
      <c r="C20" s="3">
        <f xml:space="preserve"> C8 - '+0.0 seg'!$C$8</f>
        <v>8.0000000000000071E-3</v>
      </c>
      <c r="D20" s="3">
        <f xml:space="preserve"> D8 - '+0.0 seg'!$D$8</f>
        <v>-3.0000000000000027E-3</v>
      </c>
      <c r="E20" s="3">
        <f xml:space="preserve"> E8 - '+0.0 seg'!$E$8</f>
        <v>1.0999999999999996E-2</v>
      </c>
      <c r="F20" s="3">
        <f xml:space="preserve"> F8 - '+0.0 seg'!$F$8</f>
        <v>1.2999999999999998E-2</v>
      </c>
      <c r="G20" s="3">
        <f xml:space="preserve"> G8 - '+0.0 seg'!$G$8</f>
        <v>1.0999999999999996E-2</v>
      </c>
      <c r="H20" s="3">
        <f xml:space="preserve"> H8 - '+0.0 seg'!$H$8</f>
        <v>-2.0000000000000018E-3</v>
      </c>
      <c r="I20" s="3">
        <f xml:space="preserve"> I8 - '+0.0 seg'!$I$8</f>
        <v>-3.9999999999999966E-3</v>
      </c>
      <c r="J20" s="3">
        <f xml:space="preserve"> J8 - '+0.0 seg'!$J$8</f>
        <v>-2.9999999999999957E-3</v>
      </c>
      <c r="K20" s="3">
        <f xml:space="preserve"> K8 - '+0.0 seg'!$K$8</f>
        <v>0</v>
      </c>
      <c r="L20" s="3">
        <f xml:space="preserve"> L8 - '+0.0 seg'!$L$8</f>
        <v>-1.9000000000000017E-2</v>
      </c>
      <c r="M20" s="3">
        <f xml:space="preserve"> M8 - '+0.0 seg'!$M$8</f>
        <v>1.0000000000000009E-3</v>
      </c>
    </row>
    <row r="21" spans="1:13" x14ac:dyDescent="0.3">
      <c r="A21" t="s">
        <v>19</v>
      </c>
      <c r="B21" s="3">
        <f xml:space="preserve"> B9 - '+0.0 seg'!$B$9</f>
        <v>8.0000000000000071E-3</v>
      </c>
      <c r="C21" s="3">
        <f xml:space="preserve"> C9 - '+0.0 seg'!$C$9</f>
        <v>1.2999999999999984E-2</v>
      </c>
      <c r="D21" s="3">
        <f xml:space="preserve"> D9 - '+0.0 seg'!$D$9</f>
        <v>3.9999999999999897E-3</v>
      </c>
      <c r="E21" s="3">
        <f xml:space="preserve"> E9 - '+0.0 seg'!$E$9</f>
        <v>7.0000000000000062E-3</v>
      </c>
      <c r="F21" s="3">
        <f xml:space="preserve"> F9 - '+0.0 seg'!$F$9</f>
        <v>6.9999999999999923E-3</v>
      </c>
      <c r="G21" s="3">
        <f xml:space="preserve"> G9 - '+0.0 seg'!$G$9</f>
        <v>1.7000000000000001E-2</v>
      </c>
      <c r="H21" s="3">
        <f xml:space="preserve"> H9 - '+0.0 seg'!$H$9</f>
        <v>9.9999999999998701E-4</v>
      </c>
      <c r="I21" s="3">
        <f xml:space="preserve"> I9 - '+0.0 seg'!$I$9</f>
        <v>0</v>
      </c>
      <c r="J21" s="3">
        <f xml:space="preserve"> J9 - '+0.0 seg'!$J$9</f>
        <v>0</v>
      </c>
      <c r="K21" s="3">
        <f xml:space="preserve"> K9 - '+0.0 seg'!$K$9</f>
        <v>1.0000000000000009E-3</v>
      </c>
      <c r="L21" s="3">
        <f xml:space="preserve"> L9 - '+0.0 seg'!$L$9</f>
        <v>0</v>
      </c>
      <c r="M21" s="3">
        <f xml:space="preserve"> M9 - '+0.0 seg'!$M$9</f>
        <v>0</v>
      </c>
    </row>
    <row r="22" spans="1:13" x14ac:dyDescent="0.3">
      <c r="A22" t="s">
        <v>20</v>
      </c>
      <c r="B22" s="3">
        <f xml:space="preserve"> B10 - '+0.0 seg'!$B$10</f>
        <v>-1.0000000000000009E-3</v>
      </c>
      <c r="C22" s="3">
        <f xml:space="preserve"> C10 - '+0.0 seg'!$C$10</f>
        <v>2.9000000000000026E-2</v>
      </c>
      <c r="D22" s="3">
        <f xml:space="preserve"> D10 - '+0.0 seg'!$D$10</f>
        <v>-3.0000000000000027E-3</v>
      </c>
      <c r="E22" s="3">
        <f xml:space="preserve"> E10 - '+0.0 seg'!$E$10</f>
        <v>1.2999999999999998E-2</v>
      </c>
      <c r="F22" s="3">
        <f xml:space="preserve"> F10 - '+0.0 seg'!$F$10</f>
        <v>4.7000000000000014E-2</v>
      </c>
      <c r="G22" s="3">
        <f xml:space="preserve"> G10 - '+0.0 seg'!$G$10</f>
        <v>3.0000000000000027E-3</v>
      </c>
      <c r="H22" s="3">
        <f xml:space="preserve"> H10 - '+0.0 seg'!$H$10</f>
        <v>2.0000000000000018E-3</v>
      </c>
      <c r="I22" s="3">
        <f xml:space="preserve"> I10 - '+0.0 seg'!$I$10</f>
        <v>4.0000000000000036E-3</v>
      </c>
      <c r="J22" s="3">
        <f xml:space="preserve"> J10 - '+0.0 seg'!$J$10</f>
        <v>0</v>
      </c>
      <c r="K22" s="3">
        <f xml:space="preserve"> K10 - '+0.0 seg'!$K$10</f>
        <v>0</v>
      </c>
      <c r="L22" s="3">
        <f xml:space="preserve"> L10 - '+0.0 seg'!$L$10</f>
        <v>0</v>
      </c>
      <c r="M22" s="3">
        <f xml:space="preserve"> M10 - '+0.0 seg'!$M$10</f>
        <v>-2.0000000000000018E-3</v>
      </c>
    </row>
    <row r="25" spans="1:13" x14ac:dyDescent="0.3">
      <c r="A25" t="s">
        <v>0</v>
      </c>
      <c r="B25" t="s">
        <v>21</v>
      </c>
      <c r="C25" t="s">
        <v>22</v>
      </c>
      <c r="D25" t="s">
        <v>30</v>
      </c>
      <c r="E25" t="s">
        <v>29</v>
      </c>
      <c r="F25" t="s">
        <v>27</v>
      </c>
      <c r="G25" t="s">
        <v>28</v>
      </c>
      <c r="H25" t="s">
        <v>26</v>
      </c>
      <c r="I25" t="s">
        <v>25</v>
      </c>
      <c r="J25" t="s">
        <v>24</v>
      </c>
      <c r="K25" t="s">
        <v>23</v>
      </c>
      <c r="L25" t="s">
        <v>32</v>
      </c>
      <c r="M25" t="s">
        <v>31</v>
      </c>
    </row>
    <row r="26" spans="1:13" x14ac:dyDescent="0.3">
      <c r="A26" t="s">
        <v>13</v>
      </c>
      <c r="B26" s="3">
        <f>AVERAGE(B15:C15)</f>
        <v>8.9999999999999941E-3</v>
      </c>
      <c r="C26" s="3">
        <f>STDEV(B15:C15)</f>
        <v>0</v>
      </c>
      <c r="D26" s="3">
        <f t="shared" ref="D26:L33" si="0">AVERAGE(D15:E15)</f>
        <v>1.100000000000001E-2</v>
      </c>
      <c r="E26" s="3">
        <f>STDEV(D15:E15)</f>
        <v>0</v>
      </c>
      <c r="F26" s="3">
        <f t="shared" si="0"/>
        <v>1.6000000000000007E-2</v>
      </c>
      <c r="G26" s="3">
        <f>STDEV(F15:G15)</f>
        <v>5.6568542494923723E-3</v>
      </c>
      <c r="H26" s="3">
        <f t="shared" si="0"/>
        <v>3.4999999999999962E-3</v>
      </c>
      <c r="I26" s="3">
        <f>STDEV(H15:I15)</f>
        <v>7.0710678118655803E-4</v>
      </c>
      <c r="J26" s="3">
        <f t="shared" si="0"/>
        <v>3.4694469519536142E-18</v>
      </c>
      <c r="K26" s="3">
        <f>STDEV(J15:K15)</f>
        <v>4.242640687119284E-3</v>
      </c>
      <c r="L26" s="3">
        <f t="shared" ref="L26:M26" si="1">AVERAGE(L15:M15)</f>
        <v>1.0000000000000009E-3</v>
      </c>
      <c r="M26" s="3">
        <f>STDEV(L15:M15)</f>
        <v>0</v>
      </c>
    </row>
    <row r="27" spans="1:13" x14ac:dyDescent="0.3">
      <c r="A27" t="s">
        <v>14</v>
      </c>
      <c r="B27" s="3">
        <f t="shared" ref="B27:B33" si="2">AVERAGE(B16:C16)</f>
        <v>7.9999999999999932E-3</v>
      </c>
      <c r="C27" s="3">
        <f t="shared" ref="C27:E33" si="3">STDEV(B16:C16)</f>
        <v>1.4142135623731161E-3</v>
      </c>
      <c r="D27" s="3">
        <f t="shared" si="0"/>
        <v>8.5000000000000006E-3</v>
      </c>
      <c r="E27" s="3">
        <f t="shared" si="3"/>
        <v>4.9497474683058273E-3</v>
      </c>
      <c r="F27" s="3">
        <f t="shared" si="0"/>
        <v>1.2999999999999998E-2</v>
      </c>
      <c r="G27" s="3">
        <f t="shared" ref="G27:G33" si="4">STDEV(F16:G16)</f>
        <v>1.4142135623730768E-3</v>
      </c>
      <c r="H27" s="3">
        <f t="shared" si="0"/>
        <v>7.5000000000000067E-3</v>
      </c>
      <c r="I27" s="3">
        <f t="shared" ref="I27:I33" si="5">STDEV(H16:I16)</f>
        <v>3.5355339059327403E-3</v>
      </c>
      <c r="J27" s="3">
        <f t="shared" si="0"/>
        <v>2.0000000000000018E-3</v>
      </c>
      <c r="K27" s="3">
        <f t="shared" ref="K27:K33" si="6">STDEV(J16:K16)</f>
        <v>2.8284271247461927E-3</v>
      </c>
      <c r="L27" s="3">
        <f t="shared" si="0"/>
        <v>0</v>
      </c>
      <c r="M27" s="3">
        <f t="shared" ref="M27:M33" si="7">STDEV(L16:M16)</f>
        <v>0</v>
      </c>
    </row>
    <row r="28" spans="1:13" x14ac:dyDescent="0.3">
      <c r="A28" t="s">
        <v>15</v>
      </c>
      <c r="B28" s="3">
        <f t="shared" si="2"/>
        <v>1.0000000000000009E-2</v>
      </c>
      <c r="C28" s="3">
        <f t="shared" si="3"/>
        <v>5.6568542494923844E-3</v>
      </c>
      <c r="D28" s="3">
        <f t="shared" si="0"/>
        <v>4.9999999999999975E-3</v>
      </c>
      <c r="E28" s="3">
        <f t="shared" si="3"/>
        <v>1.4142135623730866E-3</v>
      </c>
      <c r="F28" s="3">
        <f t="shared" si="0"/>
        <v>5.4999999999999979E-3</v>
      </c>
      <c r="G28" s="3">
        <f t="shared" si="4"/>
        <v>9.1923881554251165E-3</v>
      </c>
      <c r="H28" s="3">
        <f t="shared" si="0"/>
        <v>-5.0000000000000044E-4</v>
      </c>
      <c r="I28" s="3">
        <f t="shared" si="5"/>
        <v>9.1923881554251251E-3</v>
      </c>
      <c r="J28" s="3">
        <f t="shared" si="0"/>
        <v>5.0000000000000044E-4</v>
      </c>
      <c r="K28" s="3">
        <f t="shared" si="6"/>
        <v>7.0710678118654816E-4</v>
      </c>
      <c r="L28" s="3">
        <f t="shared" si="0"/>
        <v>5.0000000000000044E-4</v>
      </c>
      <c r="M28" s="3">
        <f t="shared" si="7"/>
        <v>7.0710678118654816E-4</v>
      </c>
    </row>
    <row r="29" spans="1:13" x14ac:dyDescent="0.3">
      <c r="A29" t="s">
        <v>16</v>
      </c>
      <c r="B29" s="3">
        <f t="shared" si="2"/>
        <v>1.7500000000000002E-2</v>
      </c>
      <c r="C29" s="3">
        <f t="shared" si="3"/>
        <v>2.1213203435596641E-3</v>
      </c>
      <c r="D29" s="3">
        <f t="shared" si="0"/>
        <v>2.5000000000000022E-3</v>
      </c>
      <c r="E29" s="3">
        <f t="shared" si="3"/>
        <v>7.0710678118654816E-4</v>
      </c>
      <c r="F29" s="3">
        <f t="shared" si="0"/>
        <v>2.2499999999999999E-2</v>
      </c>
      <c r="G29" s="3">
        <f t="shared" si="4"/>
        <v>1.3435028842544399E-2</v>
      </c>
      <c r="H29" s="3">
        <f t="shared" si="0"/>
        <v>4.9999999999999975E-3</v>
      </c>
      <c r="I29" s="3">
        <f t="shared" si="5"/>
        <v>1.4142135623731061E-3</v>
      </c>
      <c r="J29" s="3">
        <f t="shared" si="0"/>
        <v>1.0000000000000009E-3</v>
      </c>
      <c r="K29" s="3">
        <f t="shared" si="6"/>
        <v>0</v>
      </c>
      <c r="L29" s="3">
        <f t="shared" si="0"/>
        <v>1.0000000000000009E-3</v>
      </c>
      <c r="M29" s="3">
        <f t="shared" si="7"/>
        <v>1.4142135623730963E-3</v>
      </c>
    </row>
    <row r="30" spans="1:13" x14ac:dyDescent="0.3">
      <c r="A30" t="s">
        <v>17</v>
      </c>
      <c r="B30" s="3">
        <f t="shared" si="2"/>
        <v>6.0000000000000053E-3</v>
      </c>
      <c r="C30" s="3">
        <f t="shared" si="3"/>
        <v>1.4142135623730963E-3</v>
      </c>
      <c r="D30" s="3">
        <f t="shared" si="0"/>
        <v>9.5000000000000015E-3</v>
      </c>
      <c r="E30" s="3">
        <f t="shared" si="3"/>
        <v>6.3639610306789243E-3</v>
      </c>
      <c r="F30" s="3">
        <f t="shared" si="0"/>
        <v>1.4999999999999999E-2</v>
      </c>
      <c r="G30" s="3">
        <f t="shared" si="4"/>
        <v>4.2426406871192857E-3</v>
      </c>
      <c r="H30" s="3">
        <f t="shared" si="0"/>
        <v>3.4999999999999962E-3</v>
      </c>
      <c r="I30" s="3">
        <f t="shared" si="5"/>
        <v>1.3435028842544406E-2</v>
      </c>
      <c r="J30" s="3">
        <f t="shared" si="0"/>
        <v>1.4999999999999944E-3</v>
      </c>
      <c r="K30" s="3">
        <f t="shared" si="6"/>
        <v>2.1213203435596346E-3</v>
      </c>
      <c r="L30" s="3">
        <f t="shared" si="0"/>
        <v>-6.0000000000000053E-3</v>
      </c>
      <c r="M30" s="3">
        <f t="shared" si="7"/>
        <v>7.0710678118654814E-3</v>
      </c>
    </row>
    <row r="31" spans="1:13" x14ac:dyDescent="0.3">
      <c r="A31" t="s">
        <v>18</v>
      </c>
      <c r="B31" s="3">
        <f t="shared" si="2"/>
        <v>9.5000000000000015E-3</v>
      </c>
      <c r="C31" s="3">
        <f t="shared" si="3"/>
        <v>2.1213203435596346E-3</v>
      </c>
      <c r="D31" s="3">
        <f t="shared" si="0"/>
        <v>3.9999999999999966E-3</v>
      </c>
      <c r="E31" s="3">
        <f t="shared" si="3"/>
        <v>9.8994949366116632E-3</v>
      </c>
      <c r="F31" s="3">
        <f t="shared" si="0"/>
        <v>1.1999999999999997E-2</v>
      </c>
      <c r="G31" s="3">
        <f t="shared" si="4"/>
        <v>1.4142135623730963E-3</v>
      </c>
      <c r="H31" s="3">
        <f t="shared" si="0"/>
        <v>-2.9999999999999992E-3</v>
      </c>
      <c r="I31" s="3">
        <f t="shared" si="5"/>
        <v>1.4142135623730913E-3</v>
      </c>
      <c r="J31" s="3">
        <f t="shared" si="0"/>
        <v>-1.4999999999999979E-3</v>
      </c>
      <c r="K31" s="3">
        <f t="shared" si="6"/>
        <v>2.1213203435596394E-3</v>
      </c>
      <c r="L31" s="3">
        <f t="shared" si="0"/>
        <v>-9.000000000000008E-3</v>
      </c>
      <c r="M31" s="3">
        <f t="shared" si="7"/>
        <v>1.4142135623730965E-2</v>
      </c>
    </row>
    <row r="32" spans="1:13" x14ac:dyDescent="0.3">
      <c r="A32" t="s">
        <v>19</v>
      </c>
      <c r="B32" s="3">
        <f t="shared" si="2"/>
        <v>1.0499999999999995E-2</v>
      </c>
      <c r="C32" s="3">
        <f t="shared" si="3"/>
        <v>3.5355339059327229E-3</v>
      </c>
      <c r="D32" s="3">
        <f t="shared" si="0"/>
        <v>5.4999999999999979E-3</v>
      </c>
      <c r="E32" s="3">
        <f t="shared" si="3"/>
        <v>2.1213203435596541E-3</v>
      </c>
      <c r="F32" s="3">
        <f t="shared" si="0"/>
        <v>1.1999999999999997E-2</v>
      </c>
      <c r="G32" s="3">
        <f t="shared" si="4"/>
        <v>7.0710678118654805E-3</v>
      </c>
      <c r="H32" s="3">
        <f t="shared" si="0"/>
        <v>4.9999999999999351E-4</v>
      </c>
      <c r="I32" s="3">
        <f t="shared" si="5"/>
        <v>7.0710678118653841E-4</v>
      </c>
      <c r="J32" s="3">
        <f t="shared" si="0"/>
        <v>5.0000000000000044E-4</v>
      </c>
      <c r="K32" s="3">
        <f t="shared" si="6"/>
        <v>7.0710678118654816E-4</v>
      </c>
      <c r="L32" s="3">
        <f t="shared" si="0"/>
        <v>0</v>
      </c>
      <c r="M32" s="3">
        <f t="shared" si="7"/>
        <v>0</v>
      </c>
    </row>
    <row r="33" spans="1:13" x14ac:dyDescent="0.3">
      <c r="A33" t="s">
        <v>20</v>
      </c>
      <c r="B33" s="3">
        <f t="shared" si="2"/>
        <v>1.4000000000000012E-2</v>
      </c>
      <c r="C33" s="3">
        <f t="shared" si="3"/>
        <v>2.1213203435596444E-2</v>
      </c>
      <c r="D33" s="3">
        <f t="shared" si="0"/>
        <v>4.9999999999999975E-3</v>
      </c>
      <c r="E33" s="3">
        <f t="shared" si="3"/>
        <v>1.131370849898476E-2</v>
      </c>
      <c r="F33" s="3">
        <f t="shared" si="0"/>
        <v>2.5000000000000008E-2</v>
      </c>
      <c r="G33" s="3">
        <f t="shared" si="4"/>
        <v>3.1112698372208095E-2</v>
      </c>
      <c r="H33" s="3">
        <f t="shared" si="0"/>
        <v>3.0000000000000027E-3</v>
      </c>
      <c r="I33" s="3">
        <f t="shared" si="5"/>
        <v>1.4142135623730963E-3</v>
      </c>
      <c r="J33" s="3">
        <f t="shared" si="0"/>
        <v>0</v>
      </c>
      <c r="K33" s="3">
        <f t="shared" si="6"/>
        <v>0</v>
      </c>
      <c r="L33" s="3">
        <f t="shared" si="0"/>
        <v>-1.0000000000000009E-3</v>
      </c>
      <c r="M33" s="3">
        <f t="shared" si="7"/>
        <v>1.4142135623730963E-3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Grilla</vt:lpstr>
      <vt:lpstr>Hoja2</vt:lpstr>
      <vt:lpstr>0-0</vt:lpstr>
      <vt:lpstr>+0.0 seg</vt:lpstr>
      <vt:lpstr>+23.0 seg</vt:lpstr>
      <vt:lpstr>+42.0 seg</vt:lpstr>
      <vt:lpstr>+61.0 seg</vt:lpstr>
      <vt:lpstr>+81.0 seg</vt:lpstr>
      <vt:lpstr>+101.0 seg</vt:lpstr>
      <vt:lpstr>+120.0 seg</vt:lpstr>
      <vt:lpstr>+140.0 seg</vt:lpstr>
      <vt:lpstr>+158.0 seg</vt:lpstr>
      <vt:lpstr>+178.0 seg</vt:lpstr>
      <vt:lpstr>+198.0 seg</vt:lpstr>
      <vt:lpstr>+219.0 seg</vt:lpstr>
      <vt:lpstr>+238.0 seg</vt:lpstr>
      <vt:lpstr>+260.0 seg</vt:lpstr>
      <vt:lpstr>+279.0 seg</vt:lpstr>
      <vt:lpstr>+300.0 seg</vt:lpstr>
      <vt:lpstr>+326.0 seg</vt:lpstr>
      <vt:lpstr>+367.0 seg</vt:lpstr>
      <vt:lpstr>+431.0 seg</vt:lpstr>
      <vt:lpstr>+518.0 seg</vt:lpstr>
      <vt:lpstr>+549.0 seg</vt:lpstr>
      <vt:lpstr>+605.0 seg</vt:lpstr>
      <vt:lpstr>+658.0 seg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carlos lopez bertazza</cp:lastModifiedBy>
  <dcterms:created xsi:type="dcterms:W3CDTF">2025-10-30T12:17:48Z</dcterms:created>
  <dcterms:modified xsi:type="dcterms:W3CDTF">2025-11-06T12:38:34Z</dcterms:modified>
</cp:coreProperties>
</file>