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ia\Desktop\Uni\5 cuatri\Inv II\archivos\"/>
    </mc:Choice>
  </mc:AlternateContent>
  <xr:revisionPtr revIDLastSave="0" documentId="13_ncr:1_{64F7EAC1-DF31-4D7A-B22C-A4B60DC56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lla" sheetId="27" r:id="rId1"/>
    <sheet name="Análisis" sheetId="29" r:id="rId2"/>
    <sheet name="0-0" sheetId="1" r:id="rId3"/>
    <sheet name="+0 seg" sheetId="2" r:id="rId4"/>
    <sheet name="+23 seg" sheetId="3" r:id="rId5"/>
    <sheet name="+42 seg" sheetId="4" r:id="rId6"/>
    <sheet name="+61 seg" sheetId="5" r:id="rId7"/>
    <sheet name="+81 seg" sheetId="6" r:id="rId8"/>
    <sheet name="+101 seg" sheetId="7" r:id="rId9"/>
    <sheet name="+120 seg" sheetId="8" r:id="rId10"/>
    <sheet name="+140 seg" sheetId="9" r:id="rId11"/>
    <sheet name="+158 seg" sheetId="10" r:id="rId12"/>
    <sheet name="+178 seg" sheetId="11" r:id="rId13"/>
    <sheet name="+198 seg" sheetId="12" r:id="rId14"/>
    <sheet name="+219 seg" sheetId="13" r:id="rId15"/>
    <sheet name="+238 seg" sheetId="14" r:id="rId16"/>
    <sheet name="+260 seg" sheetId="15" r:id="rId17"/>
    <sheet name="+279 seg" sheetId="16" r:id="rId18"/>
    <sheet name="+300 seg" sheetId="17" r:id="rId19"/>
    <sheet name="+326 seg" sheetId="18" r:id="rId20"/>
    <sheet name="+367 seg" sheetId="19" r:id="rId21"/>
    <sheet name="+431 seg" sheetId="20" r:id="rId22"/>
    <sheet name="+518 seg" sheetId="21" r:id="rId23"/>
    <sheet name="+549 seg" sheetId="22" r:id="rId24"/>
    <sheet name="+605 seg" sheetId="23" r:id="rId25"/>
    <sheet name="+658 seg" sheetId="24" r:id="rId26"/>
  </sheets>
  <externalReferences>
    <externalReference r:id="rId2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" i="29" l="1"/>
  <c r="K83" i="29"/>
  <c r="L82" i="29"/>
  <c r="K82" i="29"/>
  <c r="L81" i="29"/>
  <c r="K81" i="29"/>
  <c r="L80" i="29"/>
  <c r="K80" i="29"/>
  <c r="L79" i="29"/>
  <c r="K79" i="29"/>
  <c r="L78" i="29"/>
  <c r="K78" i="29"/>
  <c r="L77" i="29"/>
  <c r="K77" i="29"/>
  <c r="L76" i="29"/>
  <c r="K76" i="29"/>
  <c r="L75" i="29"/>
  <c r="K75" i="29"/>
  <c r="L74" i="29"/>
  <c r="K74" i="29"/>
  <c r="L73" i="29"/>
  <c r="K73" i="29"/>
  <c r="L72" i="29"/>
  <c r="K72" i="29"/>
  <c r="L71" i="29"/>
  <c r="K71" i="29"/>
  <c r="L70" i="29"/>
  <c r="K70" i="29"/>
  <c r="L69" i="29"/>
  <c r="K69" i="29"/>
  <c r="L68" i="29"/>
  <c r="K68" i="29"/>
  <c r="L67" i="29"/>
  <c r="K67" i="29"/>
  <c r="L66" i="29"/>
  <c r="K66" i="29"/>
  <c r="L65" i="29"/>
  <c r="K65" i="29"/>
  <c r="L64" i="29"/>
  <c r="K64" i="29"/>
  <c r="L63" i="29"/>
  <c r="K63" i="29"/>
  <c r="L62" i="29"/>
  <c r="K62" i="29"/>
  <c r="L61" i="29"/>
  <c r="K61" i="29"/>
  <c r="X83" i="29"/>
  <c r="W83" i="29"/>
  <c r="X82" i="29"/>
  <c r="W82" i="29"/>
  <c r="X81" i="29"/>
  <c r="W81" i="29"/>
  <c r="X80" i="29"/>
  <c r="W80" i="29"/>
  <c r="X79" i="29"/>
  <c r="W79" i="29"/>
  <c r="X78" i="29"/>
  <c r="W78" i="29"/>
  <c r="X77" i="29"/>
  <c r="W77" i="29"/>
  <c r="X76" i="29"/>
  <c r="W76" i="29"/>
  <c r="X75" i="29"/>
  <c r="W75" i="29"/>
  <c r="X74" i="29"/>
  <c r="W74" i="29"/>
  <c r="X73" i="29"/>
  <c r="W73" i="29"/>
  <c r="X72" i="29"/>
  <c r="W72" i="29"/>
  <c r="X71" i="29"/>
  <c r="W71" i="29"/>
  <c r="X70" i="29"/>
  <c r="W70" i="29"/>
  <c r="X69" i="29"/>
  <c r="W69" i="29"/>
  <c r="X68" i="29"/>
  <c r="W68" i="29"/>
  <c r="X67" i="29"/>
  <c r="W67" i="29"/>
  <c r="X66" i="29"/>
  <c r="W66" i="29"/>
  <c r="X65" i="29"/>
  <c r="W65" i="29"/>
  <c r="X64" i="29"/>
  <c r="W64" i="29"/>
  <c r="X63" i="29"/>
  <c r="W63" i="29"/>
  <c r="X62" i="29"/>
  <c r="W62" i="29"/>
  <c r="X61" i="29"/>
  <c r="W61" i="29"/>
  <c r="X27" i="29"/>
  <c r="X26" i="29"/>
  <c r="X25" i="29"/>
  <c r="X24" i="29"/>
  <c r="X23" i="29"/>
  <c r="X22" i="29"/>
  <c r="X21" i="29"/>
  <c r="X20" i="29"/>
  <c r="X19" i="29"/>
  <c r="X18" i="29"/>
  <c r="X17" i="29"/>
  <c r="X16" i="29"/>
  <c r="X15" i="29"/>
  <c r="X14" i="29"/>
  <c r="X13" i="29"/>
  <c r="X12" i="29"/>
  <c r="X11" i="29"/>
  <c r="X10" i="29"/>
  <c r="X9" i="29"/>
  <c r="X8" i="29"/>
  <c r="X7" i="29"/>
  <c r="X6" i="29"/>
  <c r="X5" i="29"/>
  <c r="W27" i="29"/>
  <c r="W26" i="29"/>
  <c r="W25" i="29"/>
  <c r="W24" i="29"/>
  <c r="W23" i="29"/>
  <c r="W22" i="29"/>
  <c r="W21" i="29"/>
  <c r="W20" i="29"/>
  <c r="W19" i="29"/>
  <c r="W18" i="29"/>
  <c r="W17" i="29"/>
  <c r="W16" i="29"/>
  <c r="W15" i="29"/>
  <c r="W14" i="29"/>
  <c r="W13" i="29"/>
  <c r="W12" i="29"/>
  <c r="W11" i="29"/>
  <c r="W10" i="29"/>
  <c r="W9" i="29"/>
  <c r="W8" i="29"/>
  <c r="W7" i="29"/>
  <c r="W6" i="29"/>
  <c r="W5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I33" i="24"/>
  <c r="H33" i="24"/>
  <c r="G33" i="24"/>
  <c r="F33" i="24"/>
  <c r="E33" i="24"/>
  <c r="D33" i="24"/>
  <c r="C33" i="24"/>
  <c r="B33" i="24"/>
  <c r="I32" i="24"/>
  <c r="H32" i="24"/>
  <c r="G32" i="24"/>
  <c r="F32" i="24"/>
  <c r="E32" i="24"/>
  <c r="D32" i="24"/>
  <c r="C32" i="24"/>
  <c r="B32" i="24"/>
  <c r="I31" i="24"/>
  <c r="H31" i="24"/>
  <c r="G31" i="24"/>
  <c r="F31" i="24"/>
  <c r="E31" i="24"/>
  <c r="D31" i="24"/>
  <c r="C31" i="24"/>
  <c r="B31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I29" i="24"/>
  <c r="H29" i="24"/>
  <c r="G29" i="24"/>
  <c r="F29" i="24"/>
  <c r="E29" i="24"/>
  <c r="D29" i="24"/>
  <c r="C29" i="24"/>
  <c r="B29" i="24"/>
  <c r="I28" i="24"/>
  <c r="H28" i="24"/>
  <c r="G28" i="24"/>
  <c r="F28" i="24"/>
  <c r="E28" i="24"/>
  <c r="D28" i="24"/>
  <c r="C28" i="24"/>
  <c r="B28" i="24"/>
  <c r="I27" i="24"/>
  <c r="H27" i="24"/>
  <c r="G27" i="24"/>
  <c r="F27" i="24"/>
  <c r="E27" i="24"/>
  <c r="D27" i="24"/>
  <c r="C27" i="24"/>
  <c r="B27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I33" i="23"/>
  <c r="H33" i="23"/>
  <c r="G33" i="23"/>
  <c r="F33" i="23"/>
  <c r="E33" i="23"/>
  <c r="D33" i="23"/>
  <c r="C33" i="23"/>
  <c r="B33" i="23"/>
  <c r="I32" i="23"/>
  <c r="H32" i="23"/>
  <c r="G32" i="23"/>
  <c r="F32" i="23"/>
  <c r="E32" i="23"/>
  <c r="D32" i="23"/>
  <c r="C32" i="23"/>
  <c r="B32" i="23"/>
  <c r="I31" i="23"/>
  <c r="H31" i="23"/>
  <c r="G31" i="23"/>
  <c r="F31" i="23"/>
  <c r="E31" i="23"/>
  <c r="D31" i="23"/>
  <c r="C31" i="23"/>
  <c r="B31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I29" i="23"/>
  <c r="H29" i="23"/>
  <c r="G29" i="23"/>
  <c r="F29" i="23"/>
  <c r="E29" i="23"/>
  <c r="D29" i="23"/>
  <c r="C29" i="23"/>
  <c r="B29" i="23"/>
  <c r="I28" i="23"/>
  <c r="H28" i="23"/>
  <c r="G28" i="23"/>
  <c r="F28" i="23"/>
  <c r="E28" i="23"/>
  <c r="D28" i="23"/>
  <c r="C28" i="23"/>
  <c r="B28" i="23"/>
  <c r="I27" i="23"/>
  <c r="H27" i="23"/>
  <c r="G27" i="23"/>
  <c r="F27" i="23"/>
  <c r="E27" i="23"/>
  <c r="D27" i="23"/>
  <c r="C27" i="23"/>
  <c r="B27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I33" i="22"/>
  <c r="H33" i="22"/>
  <c r="G33" i="22"/>
  <c r="F33" i="22"/>
  <c r="E33" i="22"/>
  <c r="D33" i="22"/>
  <c r="C33" i="22"/>
  <c r="B33" i="22"/>
  <c r="I32" i="22"/>
  <c r="H32" i="22"/>
  <c r="G32" i="22"/>
  <c r="F32" i="22"/>
  <c r="E32" i="22"/>
  <c r="D32" i="22"/>
  <c r="C32" i="22"/>
  <c r="B32" i="22"/>
  <c r="I31" i="22"/>
  <c r="H31" i="22"/>
  <c r="G31" i="22"/>
  <c r="F31" i="22"/>
  <c r="S81" i="29" s="1"/>
  <c r="E31" i="22"/>
  <c r="D31" i="22"/>
  <c r="C31" i="22"/>
  <c r="B31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I29" i="22"/>
  <c r="H29" i="22"/>
  <c r="G29" i="22"/>
  <c r="F29" i="22"/>
  <c r="E29" i="22"/>
  <c r="D29" i="22"/>
  <c r="C29" i="22"/>
  <c r="B29" i="22"/>
  <c r="I28" i="22"/>
  <c r="H28" i="22"/>
  <c r="G28" i="22"/>
  <c r="F28" i="22"/>
  <c r="E28" i="22"/>
  <c r="D28" i="22"/>
  <c r="C28" i="22"/>
  <c r="B28" i="22"/>
  <c r="I27" i="22"/>
  <c r="H27" i="22"/>
  <c r="G27" i="22"/>
  <c r="F27" i="22"/>
  <c r="E27" i="22"/>
  <c r="D27" i="22"/>
  <c r="C27" i="22"/>
  <c r="B27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I33" i="21"/>
  <c r="H33" i="21"/>
  <c r="G33" i="21"/>
  <c r="F33" i="21"/>
  <c r="E33" i="21"/>
  <c r="D33" i="21"/>
  <c r="C33" i="21"/>
  <c r="B33" i="21"/>
  <c r="I32" i="21"/>
  <c r="H32" i="21"/>
  <c r="G32" i="21"/>
  <c r="F32" i="21"/>
  <c r="E32" i="21"/>
  <c r="D32" i="21"/>
  <c r="C32" i="21"/>
  <c r="B32" i="21"/>
  <c r="I31" i="21"/>
  <c r="H31" i="21"/>
  <c r="G31" i="21"/>
  <c r="F31" i="21"/>
  <c r="E31" i="21"/>
  <c r="D31" i="21"/>
  <c r="C31" i="21"/>
  <c r="B31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I29" i="21"/>
  <c r="H29" i="21"/>
  <c r="G29" i="21"/>
  <c r="F29" i="21"/>
  <c r="E29" i="21"/>
  <c r="D29" i="21"/>
  <c r="C29" i="21"/>
  <c r="B29" i="21"/>
  <c r="I28" i="21"/>
  <c r="H28" i="21"/>
  <c r="G28" i="21"/>
  <c r="F28" i="21"/>
  <c r="E28" i="21"/>
  <c r="D28" i="21"/>
  <c r="C28" i="21"/>
  <c r="B28" i="21"/>
  <c r="I27" i="21"/>
  <c r="H27" i="21"/>
  <c r="G27" i="21"/>
  <c r="F27" i="21"/>
  <c r="E27" i="21"/>
  <c r="D27" i="21"/>
  <c r="C27" i="21"/>
  <c r="B27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I33" i="20"/>
  <c r="H33" i="20"/>
  <c r="G33" i="20"/>
  <c r="F33" i="20"/>
  <c r="E33" i="20"/>
  <c r="D33" i="20"/>
  <c r="C33" i="20"/>
  <c r="B33" i="20"/>
  <c r="I32" i="20"/>
  <c r="H32" i="20"/>
  <c r="G32" i="20"/>
  <c r="F32" i="20"/>
  <c r="E32" i="20"/>
  <c r="D32" i="20"/>
  <c r="C32" i="20"/>
  <c r="B32" i="20"/>
  <c r="I31" i="20"/>
  <c r="H31" i="20"/>
  <c r="G31" i="20"/>
  <c r="F31" i="20"/>
  <c r="E31" i="20"/>
  <c r="D31" i="20"/>
  <c r="C31" i="20"/>
  <c r="B31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I29" i="20"/>
  <c r="H29" i="20"/>
  <c r="G29" i="20"/>
  <c r="F29" i="20"/>
  <c r="E29" i="20"/>
  <c r="D29" i="20"/>
  <c r="C29" i="20"/>
  <c r="B29" i="20"/>
  <c r="I28" i="20"/>
  <c r="H28" i="20"/>
  <c r="G28" i="20"/>
  <c r="F28" i="20"/>
  <c r="E28" i="20"/>
  <c r="D28" i="20"/>
  <c r="C28" i="20"/>
  <c r="B28" i="20"/>
  <c r="I27" i="20"/>
  <c r="H27" i="20"/>
  <c r="U23" i="29" s="1"/>
  <c r="G27" i="20"/>
  <c r="F27" i="20"/>
  <c r="E27" i="20"/>
  <c r="D27" i="20"/>
  <c r="C27" i="20"/>
  <c r="B27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I33" i="19"/>
  <c r="H33" i="19"/>
  <c r="G33" i="19"/>
  <c r="F33" i="19"/>
  <c r="E33" i="19"/>
  <c r="D33" i="19"/>
  <c r="C33" i="19"/>
  <c r="B33" i="19"/>
  <c r="I32" i="19"/>
  <c r="H32" i="19"/>
  <c r="G32" i="19"/>
  <c r="F32" i="19"/>
  <c r="E32" i="19"/>
  <c r="D32" i="19"/>
  <c r="C32" i="19"/>
  <c r="B32" i="19"/>
  <c r="I31" i="19"/>
  <c r="H31" i="19"/>
  <c r="G31" i="19"/>
  <c r="F31" i="19"/>
  <c r="E31" i="19"/>
  <c r="D31" i="19"/>
  <c r="C31" i="19"/>
  <c r="B31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I29" i="19"/>
  <c r="H29" i="19"/>
  <c r="G29" i="19"/>
  <c r="F29" i="19"/>
  <c r="E29" i="19"/>
  <c r="D29" i="19"/>
  <c r="C29" i="19"/>
  <c r="B29" i="19"/>
  <c r="I28" i="19"/>
  <c r="H28" i="19"/>
  <c r="G28" i="19"/>
  <c r="F28" i="19"/>
  <c r="E28" i="19"/>
  <c r="D28" i="19"/>
  <c r="C28" i="19"/>
  <c r="B28" i="19"/>
  <c r="I27" i="19"/>
  <c r="H27" i="19"/>
  <c r="G27" i="19"/>
  <c r="F27" i="19"/>
  <c r="E27" i="19"/>
  <c r="D27" i="19"/>
  <c r="C27" i="19"/>
  <c r="B27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I33" i="18"/>
  <c r="H33" i="18"/>
  <c r="G33" i="18"/>
  <c r="F33" i="18"/>
  <c r="E33" i="18"/>
  <c r="D33" i="18"/>
  <c r="C33" i="18"/>
  <c r="B33" i="18"/>
  <c r="I32" i="18"/>
  <c r="H32" i="18"/>
  <c r="G32" i="18"/>
  <c r="F32" i="18"/>
  <c r="E32" i="18"/>
  <c r="D32" i="18"/>
  <c r="C32" i="18"/>
  <c r="B32" i="18"/>
  <c r="I31" i="18"/>
  <c r="H31" i="18"/>
  <c r="G31" i="18"/>
  <c r="F31" i="18"/>
  <c r="E31" i="18"/>
  <c r="D31" i="18"/>
  <c r="C31" i="18"/>
  <c r="B31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I29" i="18"/>
  <c r="H29" i="18"/>
  <c r="G29" i="18"/>
  <c r="F29" i="18"/>
  <c r="E29" i="18"/>
  <c r="D29" i="18"/>
  <c r="C29" i="18"/>
  <c r="B29" i="18"/>
  <c r="I28" i="18"/>
  <c r="H28" i="18"/>
  <c r="G28" i="18"/>
  <c r="F28" i="18"/>
  <c r="E28" i="18"/>
  <c r="D28" i="18"/>
  <c r="C28" i="18"/>
  <c r="B28" i="18"/>
  <c r="I27" i="18"/>
  <c r="H27" i="18"/>
  <c r="G27" i="18"/>
  <c r="F27" i="18"/>
  <c r="E27" i="18"/>
  <c r="D27" i="18"/>
  <c r="C27" i="18"/>
  <c r="B27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I33" i="17"/>
  <c r="H33" i="17"/>
  <c r="G33" i="17"/>
  <c r="F33" i="17"/>
  <c r="E33" i="17"/>
  <c r="D33" i="17"/>
  <c r="C33" i="17"/>
  <c r="B33" i="17"/>
  <c r="I32" i="17"/>
  <c r="H32" i="17"/>
  <c r="G32" i="17"/>
  <c r="F32" i="17"/>
  <c r="E32" i="17"/>
  <c r="D32" i="17"/>
  <c r="C32" i="17"/>
  <c r="B32" i="17"/>
  <c r="I31" i="17"/>
  <c r="H31" i="17"/>
  <c r="G31" i="17"/>
  <c r="F31" i="17"/>
  <c r="E31" i="17"/>
  <c r="D31" i="17"/>
  <c r="C31" i="17"/>
  <c r="B31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I29" i="17"/>
  <c r="H29" i="17"/>
  <c r="G29" i="17"/>
  <c r="F29" i="17"/>
  <c r="E29" i="17"/>
  <c r="D29" i="17"/>
  <c r="C29" i="17"/>
  <c r="B29" i="17"/>
  <c r="I28" i="17"/>
  <c r="H28" i="17"/>
  <c r="G28" i="17"/>
  <c r="F28" i="17"/>
  <c r="E28" i="17"/>
  <c r="D28" i="17"/>
  <c r="C28" i="17"/>
  <c r="B28" i="17"/>
  <c r="I27" i="17"/>
  <c r="H27" i="17"/>
  <c r="G27" i="17"/>
  <c r="F27" i="17"/>
  <c r="E27" i="17"/>
  <c r="D27" i="17"/>
  <c r="C27" i="17"/>
  <c r="B27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I33" i="16"/>
  <c r="H33" i="16"/>
  <c r="G33" i="16"/>
  <c r="F33" i="16"/>
  <c r="E33" i="16"/>
  <c r="D33" i="16"/>
  <c r="C33" i="16"/>
  <c r="B33" i="16"/>
  <c r="I32" i="16"/>
  <c r="H32" i="16"/>
  <c r="G32" i="16"/>
  <c r="F32" i="16"/>
  <c r="E32" i="16"/>
  <c r="D32" i="16"/>
  <c r="C32" i="16"/>
  <c r="B32" i="16"/>
  <c r="I31" i="16"/>
  <c r="H31" i="16"/>
  <c r="G31" i="16"/>
  <c r="F31" i="16"/>
  <c r="E31" i="16"/>
  <c r="D31" i="16"/>
  <c r="C31" i="16"/>
  <c r="B31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I29" i="16"/>
  <c r="H29" i="16"/>
  <c r="G29" i="16"/>
  <c r="F29" i="16"/>
  <c r="E29" i="16"/>
  <c r="D29" i="16"/>
  <c r="C29" i="16"/>
  <c r="B29" i="16"/>
  <c r="I28" i="16"/>
  <c r="H28" i="16"/>
  <c r="G28" i="16"/>
  <c r="F28" i="16"/>
  <c r="E28" i="16"/>
  <c r="D28" i="16"/>
  <c r="C28" i="16"/>
  <c r="B28" i="16"/>
  <c r="I27" i="16"/>
  <c r="H27" i="16"/>
  <c r="G27" i="16"/>
  <c r="F27" i="16"/>
  <c r="E27" i="16"/>
  <c r="D27" i="16"/>
  <c r="C27" i="16"/>
  <c r="B27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I33" i="15"/>
  <c r="H33" i="15"/>
  <c r="G33" i="15"/>
  <c r="F33" i="15"/>
  <c r="E33" i="15"/>
  <c r="D33" i="15"/>
  <c r="C33" i="15"/>
  <c r="B33" i="15"/>
  <c r="I32" i="15"/>
  <c r="H32" i="15"/>
  <c r="G32" i="15"/>
  <c r="F32" i="15"/>
  <c r="E32" i="15"/>
  <c r="D32" i="15"/>
  <c r="C32" i="15"/>
  <c r="B32" i="15"/>
  <c r="I31" i="15"/>
  <c r="H31" i="15"/>
  <c r="G31" i="15"/>
  <c r="F31" i="15"/>
  <c r="E31" i="15"/>
  <c r="D31" i="15"/>
  <c r="C31" i="15"/>
  <c r="B31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I29" i="15"/>
  <c r="H29" i="15"/>
  <c r="G29" i="15"/>
  <c r="F29" i="15"/>
  <c r="E29" i="15"/>
  <c r="D29" i="15"/>
  <c r="C29" i="15"/>
  <c r="B29" i="15"/>
  <c r="I28" i="15"/>
  <c r="H28" i="15"/>
  <c r="G28" i="15"/>
  <c r="F28" i="15"/>
  <c r="E28" i="15"/>
  <c r="D28" i="15"/>
  <c r="C28" i="15"/>
  <c r="B28" i="15"/>
  <c r="I27" i="15"/>
  <c r="H27" i="15"/>
  <c r="G27" i="15"/>
  <c r="F27" i="15"/>
  <c r="E27" i="15"/>
  <c r="D27" i="15"/>
  <c r="C27" i="15"/>
  <c r="B27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I33" i="14"/>
  <c r="H33" i="14"/>
  <c r="G33" i="14"/>
  <c r="F33" i="14"/>
  <c r="E33" i="14"/>
  <c r="D33" i="14"/>
  <c r="C33" i="14"/>
  <c r="B33" i="14"/>
  <c r="I32" i="14"/>
  <c r="H32" i="14"/>
  <c r="G32" i="14"/>
  <c r="F32" i="14"/>
  <c r="E32" i="14"/>
  <c r="D32" i="14"/>
  <c r="C32" i="14"/>
  <c r="B32" i="14"/>
  <c r="I31" i="14"/>
  <c r="H31" i="14"/>
  <c r="G31" i="14"/>
  <c r="F31" i="14"/>
  <c r="E31" i="14"/>
  <c r="D31" i="14"/>
  <c r="C31" i="14"/>
  <c r="B31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I29" i="14"/>
  <c r="H29" i="14"/>
  <c r="G29" i="14"/>
  <c r="F29" i="14"/>
  <c r="E29" i="14"/>
  <c r="D29" i="14"/>
  <c r="C29" i="14"/>
  <c r="B29" i="14"/>
  <c r="I28" i="14"/>
  <c r="H28" i="14"/>
  <c r="G28" i="14"/>
  <c r="F28" i="14"/>
  <c r="E28" i="14"/>
  <c r="D28" i="14"/>
  <c r="C28" i="14"/>
  <c r="B28" i="14"/>
  <c r="I27" i="14"/>
  <c r="H27" i="14"/>
  <c r="G27" i="14"/>
  <c r="F27" i="14"/>
  <c r="E27" i="14"/>
  <c r="D27" i="14"/>
  <c r="C27" i="14"/>
  <c r="B27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I33" i="13"/>
  <c r="H33" i="13"/>
  <c r="G33" i="13"/>
  <c r="F33" i="13"/>
  <c r="E33" i="13"/>
  <c r="D33" i="13"/>
  <c r="C33" i="13"/>
  <c r="B33" i="13"/>
  <c r="I32" i="13"/>
  <c r="H32" i="13"/>
  <c r="G32" i="13"/>
  <c r="F32" i="13"/>
  <c r="E32" i="13"/>
  <c r="D32" i="13"/>
  <c r="C32" i="13"/>
  <c r="B32" i="13"/>
  <c r="I31" i="13"/>
  <c r="H31" i="13"/>
  <c r="G31" i="13"/>
  <c r="F31" i="13"/>
  <c r="E31" i="13"/>
  <c r="D31" i="13"/>
  <c r="C31" i="13"/>
  <c r="B31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I29" i="13"/>
  <c r="H29" i="13"/>
  <c r="G29" i="13"/>
  <c r="F29" i="13"/>
  <c r="E29" i="13"/>
  <c r="D29" i="13"/>
  <c r="C29" i="13"/>
  <c r="B29" i="13"/>
  <c r="I28" i="13"/>
  <c r="H28" i="13"/>
  <c r="G28" i="13"/>
  <c r="F28" i="13"/>
  <c r="E28" i="13"/>
  <c r="D28" i="13"/>
  <c r="C28" i="13"/>
  <c r="B28" i="13"/>
  <c r="I27" i="13"/>
  <c r="H27" i="13"/>
  <c r="G27" i="13"/>
  <c r="F27" i="13"/>
  <c r="E27" i="13"/>
  <c r="D27" i="13"/>
  <c r="C27" i="13"/>
  <c r="B27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I33" i="12"/>
  <c r="H33" i="12"/>
  <c r="G33" i="12"/>
  <c r="F33" i="12"/>
  <c r="E33" i="12"/>
  <c r="D33" i="12"/>
  <c r="C33" i="12"/>
  <c r="B33" i="12"/>
  <c r="I32" i="12"/>
  <c r="H32" i="12"/>
  <c r="G32" i="12"/>
  <c r="F32" i="12"/>
  <c r="E32" i="12"/>
  <c r="D32" i="12"/>
  <c r="C32" i="12"/>
  <c r="B32" i="12"/>
  <c r="I31" i="12"/>
  <c r="H31" i="12"/>
  <c r="G31" i="12"/>
  <c r="F31" i="12"/>
  <c r="E31" i="12"/>
  <c r="D31" i="12"/>
  <c r="C31" i="12"/>
  <c r="B31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I29" i="12"/>
  <c r="H29" i="12"/>
  <c r="G29" i="12"/>
  <c r="F29" i="12"/>
  <c r="E29" i="12"/>
  <c r="D29" i="12"/>
  <c r="C29" i="12"/>
  <c r="B29" i="12"/>
  <c r="I28" i="12"/>
  <c r="H28" i="12"/>
  <c r="G28" i="12"/>
  <c r="F28" i="12"/>
  <c r="E28" i="12"/>
  <c r="D28" i="12"/>
  <c r="C28" i="12"/>
  <c r="B28" i="12"/>
  <c r="I27" i="12"/>
  <c r="H27" i="12"/>
  <c r="G27" i="12"/>
  <c r="F27" i="12"/>
  <c r="E27" i="12"/>
  <c r="D27" i="12"/>
  <c r="C27" i="12"/>
  <c r="B27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I33" i="11"/>
  <c r="H33" i="11"/>
  <c r="G33" i="11"/>
  <c r="F33" i="11"/>
  <c r="E33" i="11"/>
  <c r="D33" i="11"/>
  <c r="C33" i="11"/>
  <c r="B33" i="11"/>
  <c r="I32" i="11"/>
  <c r="H32" i="11"/>
  <c r="G32" i="11"/>
  <c r="F32" i="11"/>
  <c r="E32" i="11"/>
  <c r="D32" i="11"/>
  <c r="C32" i="11"/>
  <c r="B32" i="11"/>
  <c r="I31" i="11"/>
  <c r="H31" i="11"/>
  <c r="G31" i="11"/>
  <c r="F31" i="11"/>
  <c r="E31" i="11"/>
  <c r="D31" i="11"/>
  <c r="C31" i="11"/>
  <c r="B31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I29" i="11"/>
  <c r="H29" i="11"/>
  <c r="U42" i="29" s="1"/>
  <c r="G29" i="11"/>
  <c r="F29" i="11"/>
  <c r="E29" i="11"/>
  <c r="D29" i="11"/>
  <c r="C29" i="11"/>
  <c r="B29" i="11"/>
  <c r="I28" i="11"/>
  <c r="H28" i="11"/>
  <c r="G28" i="11"/>
  <c r="F28" i="11"/>
  <c r="E28" i="11"/>
  <c r="D28" i="11"/>
  <c r="C28" i="11"/>
  <c r="B28" i="11"/>
  <c r="I27" i="11"/>
  <c r="H27" i="11"/>
  <c r="G27" i="11"/>
  <c r="F27" i="11"/>
  <c r="E27" i="11"/>
  <c r="D27" i="11"/>
  <c r="C27" i="11"/>
  <c r="B27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I33" i="10"/>
  <c r="H33" i="10"/>
  <c r="G33" i="10"/>
  <c r="F33" i="10"/>
  <c r="E33" i="10"/>
  <c r="D33" i="10"/>
  <c r="C33" i="10"/>
  <c r="B33" i="10"/>
  <c r="I32" i="10"/>
  <c r="H32" i="10"/>
  <c r="G32" i="10"/>
  <c r="F32" i="10"/>
  <c r="E32" i="10"/>
  <c r="D32" i="10"/>
  <c r="C32" i="10"/>
  <c r="B32" i="10"/>
  <c r="I31" i="10"/>
  <c r="H31" i="10"/>
  <c r="G31" i="10"/>
  <c r="F31" i="10"/>
  <c r="E31" i="10"/>
  <c r="D31" i="10"/>
  <c r="C31" i="10"/>
  <c r="B31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I29" i="10"/>
  <c r="H29" i="10"/>
  <c r="G29" i="10"/>
  <c r="F29" i="10"/>
  <c r="E29" i="10"/>
  <c r="D29" i="10"/>
  <c r="C29" i="10"/>
  <c r="B29" i="10"/>
  <c r="I28" i="10"/>
  <c r="H28" i="10"/>
  <c r="G28" i="10"/>
  <c r="F28" i="10"/>
  <c r="E28" i="10"/>
  <c r="D28" i="10"/>
  <c r="C28" i="10"/>
  <c r="B28" i="10"/>
  <c r="I27" i="10"/>
  <c r="H27" i="10"/>
  <c r="G27" i="10"/>
  <c r="F27" i="10"/>
  <c r="E27" i="10"/>
  <c r="D27" i="10"/>
  <c r="C27" i="10"/>
  <c r="B27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I33" i="9"/>
  <c r="H33" i="9"/>
  <c r="G33" i="9"/>
  <c r="F33" i="9"/>
  <c r="E33" i="9"/>
  <c r="D33" i="9"/>
  <c r="C33" i="9"/>
  <c r="B33" i="9"/>
  <c r="I32" i="9"/>
  <c r="H32" i="9"/>
  <c r="G32" i="9"/>
  <c r="F32" i="9"/>
  <c r="E32" i="9"/>
  <c r="D32" i="9"/>
  <c r="C32" i="9"/>
  <c r="B32" i="9"/>
  <c r="I31" i="9"/>
  <c r="H31" i="9"/>
  <c r="G31" i="9"/>
  <c r="F31" i="9"/>
  <c r="E31" i="9"/>
  <c r="D31" i="9"/>
  <c r="C31" i="9"/>
  <c r="B31" i="9"/>
  <c r="M30" i="9"/>
  <c r="L30" i="9"/>
  <c r="K30" i="9"/>
  <c r="J30" i="9"/>
  <c r="I30" i="9"/>
  <c r="H30" i="9"/>
  <c r="G30" i="9"/>
  <c r="F30" i="9"/>
  <c r="E30" i="9"/>
  <c r="D30" i="9"/>
  <c r="C30" i="9"/>
  <c r="B30" i="9"/>
  <c r="I29" i="9"/>
  <c r="H29" i="9"/>
  <c r="G29" i="9"/>
  <c r="F29" i="9"/>
  <c r="E29" i="9"/>
  <c r="D29" i="9"/>
  <c r="C29" i="9"/>
  <c r="B29" i="9"/>
  <c r="I28" i="9"/>
  <c r="H28" i="9"/>
  <c r="G28" i="9"/>
  <c r="F28" i="9"/>
  <c r="E28" i="9"/>
  <c r="D28" i="9"/>
  <c r="C28" i="9"/>
  <c r="B28" i="9"/>
  <c r="I27" i="9"/>
  <c r="H27" i="9"/>
  <c r="G27" i="9"/>
  <c r="F27" i="9"/>
  <c r="E27" i="9"/>
  <c r="D27" i="9"/>
  <c r="C27" i="9"/>
  <c r="B27" i="9"/>
  <c r="M26" i="9"/>
  <c r="L26" i="9"/>
  <c r="K26" i="9"/>
  <c r="J26" i="9"/>
  <c r="I26" i="9"/>
  <c r="H26" i="9"/>
  <c r="G26" i="9"/>
  <c r="F26" i="9"/>
  <c r="E26" i="9"/>
  <c r="D26" i="9"/>
  <c r="C26" i="9"/>
  <c r="B26" i="9"/>
  <c r="I33" i="8"/>
  <c r="H33" i="8"/>
  <c r="G33" i="8"/>
  <c r="F33" i="8"/>
  <c r="E33" i="8"/>
  <c r="D33" i="8"/>
  <c r="C33" i="8"/>
  <c r="B33" i="8"/>
  <c r="I32" i="8"/>
  <c r="H32" i="8"/>
  <c r="G32" i="8"/>
  <c r="F32" i="8"/>
  <c r="E32" i="8"/>
  <c r="D32" i="8"/>
  <c r="C32" i="8"/>
  <c r="B32" i="8"/>
  <c r="I31" i="8"/>
  <c r="H31" i="8"/>
  <c r="G31" i="8"/>
  <c r="F31" i="8"/>
  <c r="E31" i="8"/>
  <c r="D31" i="8"/>
  <c r="C31" i="8"/>
  <c r="B31" i="8"/>
  <c r="M30" i="8"/>
  <c r="L30" i="8"/>
  <c r="K30" i="8"/>
  <c r="J30" i="8"/>
  <c r="I30" i="8"/>
  <c r="H30" i="8"/>
  <c r="G30" i="8"/>
  <c r="F30" i="8"/>
  <c r="E30" i="8"/>
  <c r="D30" i="8"/>
  <c r="C30" i="8"/>
  <c r="B30" i="8"/>
  <c r="I29" i="8"/>
  <c r="H29" i="8"/>
  <c r="G29" i="8"/>
  <c r="F29" i="8"/>
  <c r="E29" i="8"/>
  <c r="D29" i="8"/>
  <c r="C29" i="8"/>
  <c r="B29" i="8"/>
  <c r="I28" i="8"/>
  <c r="H28" i="8"/>
  <c r="G28" i="8"/>
  <c r="H39" i="29" s="1"/>
  <c r="F28" i="8"/>
  <c r="E28" i="8"/>
  <c r="D28" i="8"/>
  <c r="C28" i="8"/>
  <c r="B28" i="8"/>
  <c r="I27" i="8"/>
  <c r="H27" i="8"/>
  <c r="G27" i="8"/>
  <c r="F27" i="8"/>
  <c r="E27" i="8"/>
  <c r="D27" i="8"/>
  <c r="C27" i="8"/>
  <c r="B27" i="8"/>
  <c r="M26" i="8"/>
  <c r="L26" i="8"/>
  <c r="K26" i="8"/>
  <c r="J26" i="8"/>
  <c r="I26" i="8"/>
  <c r="H26" i="8"/>
  <c r="G26" i="8"/>
  <c r="F26" i="8"/>
  <c r="E26" i="8"/>
  <c r="D26" i="8"/>
  <c r="C26" i="8"/>
  <c r="B26" i="8"/>
  <c r="I33" i="7"/>
  <c r="H33" i="7"/>
  <c r="G33" i="7"/>
  <c r="F33" i="7"/>
  <c r="E33" i="7"/>
  <c r="D33" i="7"/>
  <c r="C33" i="7"/>
  <c r="B33" i="7"/>
  <c r="I32" i="7"/>
  <c r="H32" i="7"/>
  <c r="G32" i="7"/>
  <c r="F32" i="7"/>
  <c r="E32" i="7"/>
  <c r="D32" i="7"/>
  <c r="C32" i="7"/>
  <c r="B32" i="7"/>
  <c r="I31" i="7"/>
  <c r="H31" i="7"/>
  <c r="G31" i="7"/>
  <c r="F31" i="7"/>
  <c r="E31" i="7"/>
  <c r="D31" i="7"/>
  <c r="C31" i="7"/>
  <c r="B31" i="7"/>
  <c r="M30" i="7"/>
  <c r="L30" i="7"/>
  <c r="K30" i="7"/>
  <c r="J30" i="7"/>
  <c r="I30" i="7"/>
  <c r="H30" i="7"/>
  <c r="G30" i="7"/>
  <c r="F30" i="7"/>
  <c r="E30" i="7"/>
  <c r="D30" i="7"/>
  <c r="C30" i="7"/>
  <c r="B30" i="7"/>
  <c r="I29" i="7"/>
  <c r="H29" i="7"/>
  <c r="G29" i="7"/>
  <c r="F29" i="7"/>
  <c r="E29" i="7"/>
  <c r="D29" i="7"/>
  <c r="C29" i="7"/>
  <c r="B29" i="7"/>
  <c r="I28" i="7"/>
  <c r="H28" i="7"/>
  <c r="G28" i="7"/>
  <c r="F28" i="7"/>
  <c r="E28" i="7"/>
  <c r="D28" i="7"/>
  <c r="C28" i="7"/>
  <c r="B28" i="7"/>
  <c r="I27" i="7"/>
  <c r="H27" i="7"/>
  <c r="G27" i="7"/>
  <c r="F27" i="7"/>
  <c r="E27" i="7"/>
  <c r="D27" i="7"/>
  <c r="C27" i="7"/>
  <c r="B27" i="7"/>
  <c r="M26" i="7"/>
  <c r="L26" i="7"/>
  <c r="K26" i="7"/>
  <c r="J26" i="7"/>
  <c r="I26" i="7"/>
  <c r="H26" i="7"/>
  <c r="G26" i="7"/>
  <c r="F26" i="7"/>
  <c r="E26" i="7"/>
  <c r="D26" i="7"/>
  <c r="C26" i="7"/>
  <c r="B26" i="7"/>
  <c r="I33" i="6"/>
  <c r="H33" i="6"/>
  <c r="G33" i="6"/>
  <c r="F33" i="6"/>
  <c r="E33" i="6"/>
  <c r="D33" i="6"/>
  <c r="C33" i="6"/>
  <c r="B33" i="6"/>
  <c r="I32" i="6"/>
  <c r="H32" i="6"/>
  <c r="G32" i="6"/>
  <c r="F32" i="6"/>
  <c r="E32" i="6"/>
  <c r="D32" i="6"/>
  <c r="C32" i="6"/>
  <c r="B32" i="6"/>
  <c r="I31" i="6"/>
  <c r="H31" i="6"/>
  <c r="G31" i="6"/>
  <c r="F31" i="6"/>
  <c r="S65" i="29" s="1"/>
  <c r="E31" i="6"/>
  <c r="D31" i="6"/>
  <c r="C31" i="6"/>
  <c r="B31" i="6"/>
  <c r="M30" i="6"/>
  <c r="L30" i="6"/>
  <c r="K30" i="6"/>
  <c r="J30" i="6"/>
  <c r="I30" i="6"/>
  <c r="H30" i="6"/>
  <c r="G30" i="6"/>
  <c r="F30" i="6"/>
  <c r="E30" i="6"/>
  <c r="D30" i="6"/>
  <c r="C30" i="6"/>
  <c r="B30" i="6"/>
  <c r="I29" i="6"/>
  <c r="H29" i="6"/>
  <c r="G29" i="6"/>
  <c r="F29" i="6"/>
  <c r="E29" i="6"/>
  <c r="D29" i="6"/>
  <c r="C29" i="6"/>
  <c r="B29" i="6"/>
  <c r="I28" i="6"/>
  <c r="H28" i="6"/>
  <c r="G28" i="6"/>
  <c r="F28" i="6"/>
  <c r="E28" i="6"/>
  <c r="D28" i="6"/>
  <c r="C28" i="6"/>
  <c r="B28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I33" i="5"/>
  <c r="H33" i="5"/>
  <c r="G33" i="5"/>
  <c r="F33" i="5"/>
  <c r="E33" i="5"/>
  <c r="D33" i="5"/>
  <c r="C33" i="5"/>
  <c r="B33" i="5"/>
  <c r="I32" i="5"/>
  <c r="H32" i="5"/>
  <c r="G32" i="5"/>
  <c r="F32" i="5"/>
  <c r="E32" i="5"/>
  <c r="D32" i="5"/>
  <c r="C32" i="5"/>
  <c r="B32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I29" i="5"/>
  <c r="H29" i="5"/>
  <c r="G29" i="5"/>
  <c r="F29" i="5"/>
  <c r="E29" i="5"/>
  <c r="D29" i="5"/>
  <c r="C29" i="5"/>
  <c r="B29" i="5"/>
  <c r="I28" i="5"/>
  <c r="H28" i="5"/>
  <c r="G28" i="5"/>
  <c r="F28" i="5"/>
  <c r="E28" i="5"/>
  <c r="D28" i="5"/>
  <c r="C28" i="5"/>
  <c r="B28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I33" i="4"/>
  <c r="H33" i="4"/>
  <c r="G33" i="4"/>
  <c r="F33" i="4"/>
  <c r="E33" i="4"/>
  <c r="D33" i="4"/>
  <c r="C33" i="4"/>
  <c r="B33" i="4"/>
  <c r="I32" i="4"/>
  <c r="H32" i="4"/>
  <c r="G32" i="4"/>
  <c r="F32" i="4"/>
  <c r="E32" i="4"/>
  <c r="D32" i="4"/>
  <c r="C32" i="4"/>
  <c r="B32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I29" i="4"/>
  <c r="H29" i="4"/>
  <c r="G29" i="4"/>
  <c r="F29" i="4"/>
  <c r="E29" i="4"/>
  <c r="D29" i="4"/>
  <c r="C29" i="4"/>
  <c r="B29" i="4"/>
  <c r="I28" i="4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B27" i="4"/>
  <c r="M26" i="4"/>
  <c r="L26" i="4"/>
  <c r="K26" i="4"/>
  <c r="J26" i="4"/>
  <c r="I26" i="4"/>
  <c r="H26" i="4"/>
  <c r="G26" i="4"/>
  <c r="F26" i="4"/>
  <c r="E26" i="4"/>
  <c r="D26" i="4"/>
  <c r="C26" i="4"/>
  <c r="B26" i="4"/>
  <c r="I33" i="3"/>
  <c r="H33" i="3"/>
  <c r="G33" i="3"/>
  <c r="F33" i="3"/>
  <c r="E33" i="3"/>
  <c r="D33" i="3"/>
  <c r="C33" i="3"/>
  <c r="B33" i="3"/>
  <c r="I32" i="3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L26" i="2"/>
  <c r="M30" i="2"/>
  <c r="K30" i="2"/>
  <c r="L30" i="2"/>
  <c r="J30" i="2"/>
  <c r="M26" i="2"/>
  <c r="K26" i="2"/>
  <c r="J26" i="2"/>
  <c r="V88" i="29"/>
  <c r="U88" i="29"/>
  <c r="T88" i="29"/>
  <c r="S88" i="29"/>
  <c r="R88" i="29"/>
  <c r="Q88" i="29"/>
  <c r="P88" i="29"/>
  <c r="O88" i="29"/>
  <c r="J88" i="29"/>
  <c r="I88" i="29"/>
  <c r="H88" i="29"/>
  <c r="G88" i="29"/>
  <c r="F88" i="29"/>
  <c r="E88" i="29"/>
  <c r="D88" i="29"/>
  <c r="C88" i="29"/>
  <c r="J61" i="29"/>
  <c r="I61" i="29"/>
  <c r="H61" i="29"/>
  <c r="G61" i="29"/>
  <c r="F61" i="29"/>
  <c r="E61" i="29"/>
  <c r="D61" i="29"/>
  <c r="C61" i="29"/>
  <c r="V61" i="29"/>
  <c r="U61" i="29"/>
  <c r="T61" i="29"/>
  <c r="S61" i="29"/>
  <c r="R61" i="29"/>
  <c r="Q61" i="29"/>
  <c r="P61" i="29"/>
  <c r="O61" i="29"/>
  <c r="V54" i="29"/>
  <c r="V51" i="29"/>
  <c r="V33" i="29"/>
  <c r="U33" i="29"/>
  <c r="T33" i="29"/>
  <c r="S33" i="29"/>
  <c r="R33" i="29"/>
  <c r="Q33" i="29"/>
  <c r="P33" i="29"/>
  <c r="O33" i="29"/>
  <c r="J5" i="29"/>
  <c r="I5" i="29"/>
  <c r="H5" i="29"/>
  <c r="G5" i="29"/>
  <c r="F5" i="29"/>
  <c r="E5" i="29"/>
  <c r="D5" i="29"/>
  <c r="C5" i="29"/>
  <c r="C46" i="29"/>
  <c r="J33" i="29"/>
  <c r="I33" i="29"/>
  <c r="H33" i="29"/>
  <c r="G33" i="29"/>
  <c r="F33" i="29"/>
  <c r="E33" i="29"/>
  <c r="D33" i="29"/>
  <c r="C33" i="29"/>
  <c r="V5" i="29"/>
  <c r="U5" i="29"/>
  <c r="T5" i="29"/>
  <c r="S5" i="29"/>
  <c r="R5" i="29"/>
  <c r="Q5" i="29"/>
  <c r="P5" i="29"/>
  <c r="O5" i="29"/>
  <c r="F28" i="2"/>
  <c r="F26" i="2"/>
  <c r="U55" i="29"/>
  <c r="I100" i="29"/>
  <c r="U45" i="29"/>
  <c r="V99" i="29"/>
  <c r="I71" i="29"/>
  <c r="J97" i="29"/>
  <c r="V66" i="29"/>
  <c r="V9" i="29"/>
  <c r="M22" i="24"/>
  <c r="L22" i="24"/>
  <c r="K22" i="24"/>
  <c r="J22" i="24"/>
  <c r="I22" i="24"/>
  <c r="H22" i="24"/>
  <c r="G22" i="24"/>
  <c r="F22" i="24"/>
  <c r="E22" i="24"/>
  <c r="D22" i="24"/>
  <c r="C22" i="24"/>
  <c r="B22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M18" i="24"/>
  <c r="L18" i="24"/>
  <c r="K18" i="24"/>
  <c r="J18" i="24"/>
  <c r="I18" i="24"/>
  <c r="H18" i="24"/>
  <c r="V55" i="29" s="1"/>
  <c r="G18" i="24"/>
  <c r="F18" i="24"/>
  <c r="T55" i="29" s="1"/>
  <c r="E18" i="24"/>
  <c r="D18" i="24"/>
  <c r="C18" i="24"/>
  <c r="B18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M16" i="24"/>
  <c r="L16" i="24"/>
  <c r="K16" i="24"/>
  <c r="J16" i="24"/>
  <c r="I16" i="24"/>
  <c r="H16" i="24"/>
  <c r="G16" i="24"/>
  <c r="F16" i="24"/>
  <c r="T27" i="29" s="1"/>
  <c r="E16" i="24"/>
  <c r="D16" i="24"/>
  <c r="C16" i="24"/>
  <c r="B16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M22" i="23"/>
  <c r="L22" i="23"/>
  <c r="K22" i="23"/>
  <c r="J22" i="23"/>
  <c r="I22" i="23"/>
  <c r="H22" i="23"/>
  <c r="G22" i="23"/>
  <c r="F22" i="23"/>
  <c r="E22" i="23"/>
  <c r="D22" i="23"/>
  <c r="C22" i="23"/>
  <c r="B22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M20" i="23"/>
  <c r="L20" i="23"/>
  <c r="K20" i="23"/>
  <c r="J20" i="23"/>
  <c r="I20" i="23"/>
  <c r="H20" i="23"/>
  <c r="G20" i="23"/>
  <c r="F20" i="23"/>
  <c r="T82" i="29" s="1"/>
  <c r="E20" i="23"/>
  <c r="D20" i="23"/>
  <c r="C20" i="23"/>
  <c r="B20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M22" i="22"/>
  <c r="L22" i="22"/>
  <c r="K22" i="22"/>
  <c r="J22" i="22"/>
  <c r="I22" i="22"/>
  <c r="H22" i="22"/>
  <c r="G22" i="22"/>
  <c r="F22" i="22"/>
  <c r="E22" i="22"/>
  <c r="D22" i="22"/>
  <c r="C22" i="22"/>
  <c r="B22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M20" i="22"/>
  <c r="L20" i="22"/>
  <c r="K20" i="22"/>
  <c r="J20" i="22"/>
  <c r="I20" i="22"/>
  <c r="H20" i="22"/>
  <c r="V81" i="29" s="1"/>
  <c r="G20" i="22"/>
  <c r="F20" i="22"/>
  <c r="T81" i="29" s="1"/>
  <c r="E20" i="22"/>
  <c r="D20" i="22"/>
  <c r="C20" i="22"/>
  <c r="B20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M18" i="22"/>
  <c r="L18" i="22"/>
  <c r="K18" i="22"/>
  <c r="J18" i="22"/>
  <c r="I18" i="22"/>
  <c r="H18" i="22"/>
  <c r="G18" i="22"/>
  <c r="F18" i="22"/>
  <c r="S53" i="29" s="1"/>
  <c r="E18" i="22"/>
  <c r="D18" i="22"/>
  <c r="C18" i="22"/>
  <c r="B18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D53" i="29" s="1"/>
  <c r="M16" i="22"/>
  <c r="L16" i="22"/>
  <c r="K16" i="22"/>
  <c r="J16" i="22"/>
  <c r="I16" i="22"/>
  <c r="H16" i="22"/>
  <c r="G16" i="22"/>
  <c r="F16" i="22"/>
  <c r="E16" i="22"/>
  <c r="D16" i="22"/>
  <c r="C16" i="22"/>
  <c r="B16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M22" i="21"/>
  <c r="L22" i="21"/>
  <c r="K22" i="21"/>
  <c r="J22" i="21"/>
  <c r="I22" i="21"/>
  <c r="H22" i="21"/>
  <c r="G22" i="21"/>
  <c r="F22" i="21"/>
  <c r="E22" i="21"/>
  <c r="D22" i="21"/>
  <c r="C22" i="21"/>
  <c r="B22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D107" i="29" s="1"/>
  <c r="M20" i="21"/>
  <c r="L20" i="21"/>
  <c r="K20" i="21"/>
  <c r="J20" i="21"/>
  <c r="I20" i="21"/>
  <c r="H20" i="21"/>
  <c r="G20" i="21"/>
  <c r="F20" i="21"/>
  <c r="E20" i="21"/>
  <c r="D20" i="21"/>
  <c r="C20" i="21"/>
  <c r="B20" i="21"/>
  <c r="M19" i="21"/>
  <c r="L19" i="21"/>
  <c r="K19" i="21"/>
  <c r="J19" i="21"/>
  <c r="I19" i="21"/>
  <c r="H19" i="21"/>
  <c r="J80" i="29" s="1"/>
  <c r="G19" i="21"/>
  <c r="F19" i="21"/>
  <c r="E19" i="21"/>
  <c r="D19" i="21"/>
  <c r="C19" i="21"/>
  <c r="B19" i="21"/>
  <c r="M18" i="21"/>
  <c r="L18" i="21"/>
  <c r="K18" i="21"/>
  <c r="J18" i="21"/>
  <c r="I18" i="21"/>
  <c r="H18" i="21"/>
  <c r="V52" i="29" s="1"/>
  <c r="G18" i="21"/>
  <c r="F18" i="21"/>
  <c r="E18" i="21"/>
  <c r="D18" i="21"/>
  <c r="C18" i="21"/>
  <c r="B18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M16" i="21"/>
  <c r="L16" i="21"/>
  <c r="K16" i="21"/>
  <c r="J16" i="21"/>
  <c r="I16" i="21"/>
  <c r="H16" i="21"/>
  <c r="V24" i="29" s="1"/>
  <c r="G16" i="21"/>
  <c r="F16" i="21"/>
  <c r="E16" i="21"/>
  <c r="D16" i="21"/>
  <c r="C16" i="21"/>
  <c r="B16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M22" i="20"/>
  <c r="L22" i="20"/>
  <c r="K22" i="20"/>
  <c r="J22" i="20"/>
  <c r="I22" i="20"/>
  <c r="H22" i="20"/>
  <c r="G22" i="20"/>
  <c r="F22" i="20"/>
  <c r="S106" i="29" s="1"/>
  <c r="E22" i="20"/>
  <c r="D22" i="20"/>
  <c r="C22" i="20"/>
  <c r="B22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M16" i="20"/>
  <c r="L16" i="20"/>
  <c r="K16" i="20"/>
  <c r="J16" i="20"/>
  <c r="I16" i="20"/>
  <c r="H16" i="20"/>
  <c r="V23" i="29" s="1"/>
  <c r="G16" i="20"/>
  <c r="F16" i="20"/>
  <c r="E16" i="20"/>
  <c r="D16" i="20"/>
  <c r="C16" i="20"/>
  <c r="B16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M22" i="19"/>
  <c r="L22" i="19"/>
  <c r="K22" i="19"/>
  <c r="J22" i="19"/>
  <c r="I22" i="19"/>
  <c r="H22" i="19"/>
  <c r="G22" i="19"/>
  <c r="F22" i="19"/>
  <c r="T105" i="29" s="1"/>
  <c r="E22" i="19"/>
  <c r="D22" i="19"/>
  <c r="C22" i="19"/>
  <c r="B22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M22" i="18"/>
  <c r="L22" i="18"/>
  <c r="K22" i="18"/>
  <c r="J22" i="18"/>
  <c r="I22" i="18"/>
  <c r="H22" i="18"/>
  <c r="G22" i="18"/>
  <c r="F22" i="18"/>
  <c r="E22" i="18"/>
  <c r="D22" i="18"/>
  <c r="C22" i="18"/>
  <c r="B22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M19" i="18"/>
  <c r="L19" i="18"/>
  <c r="K19" i="18"/>
  <c r="J19" i="18"/>
  <c r="I19" i="18"/>
  <c r="H19" i="18"/>
  <c r="J77" i="29" s="1"/>
  <c r="G19" i="18"/>
  <c r="F19" i="18"/>
  <c r="E19" i="18"/>
  <c r="D19" i="18"/>
  <c r="C19" i="18"/>
  <c r="B19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M17" i="18"/>
  <c r="L17" i="18"/>
  <c r="K17" i="18"/>
  <c r="J17" i="18"/>
  <c r="I17" i="18"/>
  <c r="H17" i="18"/>
  <c r="I49" i="29" s="1"/>
  <c r="G17" i="18"/>
  <c r="F17" i="18"/>
  <c r="E17" i="18"/>
  <c r="D17" i="18"/>
  <c r="C17" i="18"/>
  <c r="B17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M22" i="17"/>
  <c r="L22" i="17"/>
  <c r="K22" i="17"/>
  <c r="J22" i="17"/>
  <c r="I22" i="17"/>
  <c r="H22" i="17"/>
  <c r="V103" i="29" s="1"/>
  <c r="G22" i="17"/>
  <c r="F22" i="17"/>
  <c r="E22" i="17"/>
  <c r="D22" i="17"/>
  <c r="C22" i="17"/>
  <c r="B22" i="17"/>
  <c r="M21" i="17"/>
  <c r="L21" i="17"/>
  <c r="K21" i="17"/>
  <c r="J21" i="17"/>
  <c r="I21" i="17"/>
  <c r="H21" i="17"/>
  <c r="J103" i="29" s="1"/>
  <c r="G21" i="17"/>
  <c r="F21" i="17"/>
  <c r="E21" i="17"/>
  <c r="D21" i="17"/>
  <c r="C21" i="17"/>
  <c r="B21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M19" i="17"/>
  <c r="L19" i="17"/>
  <c r="K19" i="17"/>
  <c r="J19" i="17"/>
  <c r="I19" i="17"/>
  <c r="H19" i="17"/>
  <c r="J76" i="29" s="1"/>
  <c r="G19" i="17"/>
  <c r="F19" i="17"/>
  <c r="E19" i="17"/>
  <c r="D19" i="17"/>
  <c r="C19" i="17"/>
  <c r="B19" i="17"/>
  <c r="M18" i="17"/>
  <c r="L18" i="17"/>
  <c r="K18" i="17"/>
  <c r="J18" i="17"/>
  <c r="I18" i="17"/>
  <c r="H18" i="17"/>
  <c r="V48" i="29" s="1"/>
  <c r="G18" i="17"/>
  <c r="F18" i="17"/>
  <c r="E18" i="17"/>
  <c r="D18" i="17"/>
  <c r="C18" i="17"/>
  <c r="B18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M16" i="17"/>
  <c r="L16" i="17"/>
  <c r="K16" i="17"/>
  <c r="J16" i="17"/>
  <c r="I16" i="17"/>
  <c r="H16" i="17"/>
  <c r="V20" i="29" s="1"/>
  <c r="G16" i="17"/>
  <c r="F16" i="17"/>
  <c r="E16" i="17"/>
  <c r="D16" i="17"/>
  <c r="C16" i="17"/>
  <c r="B16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M22" i="16"/>
  <c r="L22" i="16"/>
  <c r="K22" i="16"/>
  <c r="J22" i="16"/>
  <c r="I22" i="16"/>
  <c r="H22" i="16"/>
  <c r="G22" i="16"/>
  <c r="F22" i="16"/>
  <c r="E22" i="16"/>
  <c r="D22" i="16"/>
  <c r="C22" i="16"/>
  <c r="B22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M19" i="16"/>
  <c r="L19" i="16"/>
  <c r="K19" i="16"/>
  <c r="J19" i="16"/>
  <c r="I19" i="16"/>
  <c r="H19" i="16"/>
  <c r="J75" i="29" s="1"/>
  <c r="G19" i="16"/>
  <c r="F19" i="16"/>
  <c r="E19" i="16"/>
  <c r="D19" i="16"/>
  <c r="C19" i="16"/>
  <c r="B19" i="16"/>
  <c r="M18" i="16"/>
  <c r="L18" i="16"/>
  <c r="K18" i="16"/>
  <c r="J18" i="16"/>
  <c r="I18" i="16"/>
  <c r="H18" i="16"/>
  <c r="U47" i="29" s="1"/>
  <c r="G18" i="16"/>
  <c r="F18" i="16"/>
  <c r="E18" i="16"/>
  <c r="D18" i="16"/>
  <c r="C18" i="16"/>
  <c r="B18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M22" i="15"/>
  <c r="L22" i="15"/>
  <c r="K22" i="15"/>
  <c r="J22" i="15"/>
  <c r="I22" i="15"/>
  <c r="H22" i="15"/>
  <c r="U101" i="29" s="1"/>
  <c r="G22" i="15"/>
  <c r="F22" i="15"/>
  <c r="E22" i="15"/>
  <c r="D22" i="15"/>
  <c r="C22" i="15"/>
  <c r="B22" i="15"/>
  <c r="M21" i="15"/>
  <c r="L21" i="15"/>
  <c r="K21" i="15"/>
  <c r="J21" i="15"/>
  <c r="I21" i="15"/>
  <c r="H21" i="15"/>
  <c r="J101" i="29" s="1"/>
  <c r="G21" i="15"/>
  <c r="F21" i="15"/>
  <c r="E21" i="15"/>
  <c r="D21" i="15"/>
  <c r="C21" i="15"/>
  <c r="B21" i="15"/>
  <c r="M20" i="15"/>
  <c r="L20" i="15"/>
  <c r="K20" i="15"/>
  <c r="J20" i="15"/>
  <c r="I20" i="15"/>
  <c r="H20" i="15"/>
  <c r="V74" i="29" s="1"/>
  <c r="G20" i="15"/>
  <c r="F20" i="15"/>
  <c r="E20" i="15"/>
  <c r="D20" i="15"/>
  <c r="C20" i="15"/>
  <c r="B20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M18" i="15"/>
  <c r="L18" i="15"/>
  <c r="K18" i="15"/>
  <c r="J18" i="15"/>
  <c r="I18" i="15"/>
  <c r="H18" i="15"/>
  <c r="G18" i="15"/>
  <c r="F18" i="15"/>
  <c r="T46" i="29" s="1"/>
  <c r="E18" i="15"/>
  <c r="D18" i="15"/>
  <c r="C18" i="15"/>
  <c r="B18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M16" i="15"/>
  <c r="L16" i="15"/>
  <c r="K16" i="15"/>
  <c r="J16" i="15"/>
  <c r="I16" i="15"/>
  <c r="H16" i="15"/>
  <c r="V18" i="29" s="1"/>
  <c r="G16" i="15"/>
  <c r="F16" i="15"/>
  <c r="E16" i="15"/>
  <c r="D16" i="15"/>
  <c r="C16" i="15"/>
  <c r="B16" i="15"/>
  <c r="M15" i="15"/>
  <c r="L15" i="15"/>
  <c r="K15" i="15"/>
  <c r="J15" i="15"/>
  <c r="I15" i="15"/>
  <c r="H15" i="15"/>
  <c r="J18" i="29" s="1"/>
  <c r="G15" i="15"/>
  <c r="F15" i="15"/>
  <c r="E15" i="15"/>
  <c r="D15" i="15"/>
  <c r="C15" i="15"/>
  <c r="B15" i="15"/>
  <c r="M22" i="14"/>
  <c r="L22" i="14"/>
  <c r="K22" i="14"/>
  <c r="J22" i="14"/>
  <c r="I22" i="14"/>
  <c r="H22" i="14"/>
  <c r="G22" i="14"/>
  <c r="F22" i="14"/>
  <c r="E22" i="14"/>
  <c r="D22" i="14"/>
  <c r="C22" i="14"/>
  <c r="B22" i="14"/>
  <c r="M21" i="14"/>
  <c r="L21" i="14"/>
  <c r="K21" i="14"/>
  <c r="J21" i="14"/>
  <c r="I21" i="14"/>
  <c r="H21" i="14"/>
  <c r="J100" i="29" s="1"/>
  <c r="G21" i="14"/>
  <c r="F21" i="14"/>
  <c r="E21" i="14"/>
  <c r="D21" i="14"/>
  <c r="C21" i="14"/>
  <c r="B21" i="14"/>
  <c r="M20" i="14"/>
  <c r="L20" i="14"/>
  <c r="K20" i="14"/>
  <c r="J20" i="14"/>
  <c r="I20" i="14"/>
  <c r="H20" i="14"/>
  <c r="G20" i="14"/>
  <c r="F20" i="14"/>
  <c r="T73" i="29" s="1"/>
  <c r="E20" i="14"/>
  <c r="D20" i="14"/>
  <c r="C20" i="14"/>
  <c r="B20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M18" i="14"/>
  <c r="L18" i="14"/>
  <c r="K18" i="14"/>
  <c r="J18" i="14"/>
  <c r="I18" i="14"/>
  <c r="H18" i="14"/>
  <c r="G18" i="14"/>
  <c r="F18" i="14"/>
  <c r="T45" i="29" s="1"/>
  <c r="E18" i="14"/>
  <c r="D18" i="14"/>
  <c r="C18" i="14"/>
  <c r="B18" i="14"/>
  <c r="M17" i="14"/>
  <c r="L17" i="14"/>
  <c r="K17" i="14"/>
  <c r="J17" i="14"/>
  <c r="I17" i="14"/>
  <c r="H17" i="14"/>
  <c r="J45" i="29" s="1"/>
  <c r="G17" i="14"/>
  <c r="F17" i="14"/>
  <c r="E17" i="14"/>
  <c r="D17" i="14"/>
  <c r="C17" i="14"/>
  <c r="B17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M15" i="14"/>
  <c r="L15" i="14"/>
  <c r="K15" i="14"/>
  <c r="J15" i="14"/>
  <c r="I15" i="14"/>
  <c r="H15" i="14"/>
  <c r="J17" i="29" s="1"/>
  <c r="G15" i="14"/>
  <c r="F15" i="14"/>
  <c r="E15" i="14"/>
  <c r="D15" i="14"/>
  <c r="C15" i="14"/>
  <c r="B15" i="14"/>
  <c r="M22" i="13"/>
  <c r="L22" i="13"/>
  <c r="K22" i="13"/>
  <c r="J22" i="13"/>
  <c r="I22" i="13"/>
  <c r="H22" i="13"/>
  <c r="U99" i="29" s="1"/>
  <c r="G22" i="13"/>
  <c r="F22" i="13"/>
  <c r="E22" i="13"/>
  <c r="D22" i="13"/>
  <c r="C22" i="13"/>
  <c r="B22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M19" i="13"/>
  <c r="L19" i="13"/>
  <c r="K19" i="13"/>
  <c r="J19" i="13"/>
  <c r="I19" i="13"/>
  <c r="H19" i="13"/>
  <c r="J72" i="29" s="1"/>
  <c r="G19" i="13"/>
  <c r="F19" i="13"/>
  <c r="E19" i="13"/>
  <c r="D19" i="13"/>
  <c r="C19" i="13"/>
  <c r="B19" i="13"/>
  <c r="M18" i="13"/>
  <c r="L18" i="13"/>
  <c r="K18" i="13"/>
  <c r="J18" i="13"/>
  <c r="I18" i="13"/>
  <c r="H18" i="13"/>
  <c r="U44" i="29" s="1"/>
  <c r="G18" i="13"/>
  <c r="F18" i="13"/>
  <c r="E18" i="13"/>
  <c r="D18" i="13"/>
  <c r="C18" i="13"/>
  <c r="B18" i="13"/>
  <c r="M17" i="13"/>
  <c r="L17" i="13"/>
  <c r="K17" i="13"/>
  <c r="J17" i="13"/>
  <c r="I17" i="13"/>
  <c r="H17" i="13"/>
  <c r="J44" i="29" s="1"/>
  <c r="G17" i="13"/>
  <c r="F17" i="13"/>
  <c r="E17" i="13"/>
  <c r="D17" i="13"/>
  <c r="C17" i="13"/>
  <c r="B17" i="13"/>
  <c r="M16" i="13"/>
  <c r="L16" i="13"/>
  <c r="K16" i="13"/>
  <c r="J16" i="13"/>
  <c r="I16" i="13"/>
  <c r="H16" i="13"/>
  <c r="U16" i="29" s="1"/>
  <c r="G16" i="13"/>
  <c r="F16" i="13"/>
  <c r="E16" i="13"/>
  <c r="D16" i="13"/>
  <c r="C16" i="13"/>
  <c r="B16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M22" i="12"/>
  <c r="L22" i="12"/>
  <c r="K22" i="12"/>
  <c r="J22" i="12"/>
  <c r="I22" i="12"/>
  <c r="H22" i="12"/>
  <c r="G22" i="12"/>
  <c r="F22" i="12"/>
  <c r="T98" i="29" s="1"/>
  <c r="E22" i="12"/>
  <c r="D22" i="12"/>
  <c r="C22" i="12"/>
  <c r="B22" i="12"/>
  <c r="M21" i="12"/>
  <c r="L21" i="12"/>
  <c r="K21" i="12"/>
  <c r="J21" i="12"/>
  <c r="I21" i="12"/>
  <c r="H21" i="12"/>
  <c r="J98" i="29" s="1"/>
  <c r="G21" i="12"/>
  <c r="F21" i="12"/>
  <c r="E21" i="12"/>
  <c r="D21" i="12"/>
  <c r="C21" i="12"/>
  <c r="B21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M19" i="12"/>
  <c r="L19" i="12"/>
  <c r="K19" i="12"/>
  <c r="J19" i="12"/>
  <c r="I19" i="12"/>
  <c r="H19" i="12"/>
  <c r="J71" i="29" s="1"/>
  <c r="G19" i="12"/>
  <c r="F19" i="12"/>
  <c r="E19" i="12"/>
  <c r="D19" i="12"/>
  <c r="C19" i="12"/>
  <c r="B19" i="12"/>
  <c r="M18" i="12"/>
  <c r="L18" i="12"/>
  <c r="K18" i="12"/>
  <c r="J18" i="12"/>
  <c r="I18" i="12"/>
  <c r="H18" i="12"/>
  <c r="U43" i="29" s="1"/>
  <c r="G18" i="12"/>
  <c r="F18" i="12"/>
  <c r="E18" i="12"/>
  <c r="D18" i="12"/>
  <c r="C18" i="12"/>
  <c r="B18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M22" i="11"/>
  <c r="L22" i="11"/>
  <c r="K22" i="11"/>
  <c r="J22" i="11"/>
  <c r="I22" i="11"/>
  <c r="H22" i="11"/>
  <c r="G22" i="11"/>
  <c r="F22" i="11"/>
  <c r="T97" i="29" s="1"/>
  <c r="E22" i="11"/>
  <c r="D22" i="11"/>
  <c r="C22" i="11"/>
  <c r="B22" i="11"/>
  <c r="M21" i="11"/>
  <c r="L21" i="11"/>
  <c r="K21" i="11"/>
  <c r="J21" i="11"/>
  <c r="I21" i="11"/>
  <c r="H21" i="11"/>
  <c r="I97" i="29" s="1"/>
  <c r="G21" i="11"/>
  <c r="F21" i="11"/>
  <c r="E21" i="11"/>
  <c r="D21" i="11"/>
  <c r="C21" i="11"/>
  <c r="B21" i="11"/>
  <c r="M20" i="11"/>
  <c r="L20" i="11"/>
  <c r="K20" i="11"/>
  <c r="J20" i="11"/>
  <c r="I20" i="11"/>
  <c r="H20" i="11"/>
  <c r="U70" i="29" s="1"/>
  <c r="G20" i="11"/>
  <c r="F20" i="11"/>
  <c r="E20" i="11"/>
  <c r="D20" i="11"/>
  <c r="C20" i="11"/>
  <c r="B20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M18" i="11"/>
  <c r="L18" i="11"/>
  <c r="K18" i="11"/>
  <c r="J18" i="11"/>
  <c r="I18" i="11"/>
  <c r="H18" i="11"/>
  <c r="V42" i="29" s="1"/>
  <c r="G18" i="11"/>
  <c r="F18" i="11"/>
  <c r="E18" i="11"/>
  <c r="D18" i="11"/>
  <c r="C18" i="11"/>
  <c r="B18" i="11"/>
  <c r="M17" i="11"/>
  <c r="L17" i="11"/>
  <c r="K17" i="11"/>
  <c r="J17" i="11"/>
  <c r="I17" i="11"/>
  <c r="H17" i="11"/>
  <c r="J42" i="29" s="1"/>
  <c r="G17" i="11"/>
  <c r="F17" i="11"/>
  <c r="E17" i="11"/>
  <c r="D17" i="11"/>
  <c r="C17" i="11"/>
  <c r="B17" i="11"/>
  <c r="D42" i="29" s="1"/>
  <c r="M16" i="11"/>
  <c r="L16" i="11"/>
  <c r="K16" i="11"/>
  <c r="J16" i="11"/>
  <c r="I16" i="11"/>
  <c r="H16" i="11"/>
  <c r="V14" i="29" s="1"/>
  <c r="G16" i="11"/>
  <c r="F16" i="11"/>
  <c r="E16" i="11"/>
  <c r="D16" i="11"/>
  <c r="C16" i="11"/>
  <c r="B16" i="11"/>
  <c r="M15" i="11"/>
  <c r="L15" i="11"/>
  <c r="K15" i="11"/>
  <c r="J15" i="11"/>
  <c r="I15" i="11"/>
  <c r="H15" i="11"/>
  <c r="I14" i="29" s="1"/>
  <c r="G15" i="11"/>
  <c r="F15" i="11"/>
  <c r="E15" i="11"/>
  <c r="D15" i="11"/>
  <c r="C15" i="11"/>
  <c r="B15" i="11"/>
  <c r="M22" i="10"/>
  <c r="L22" i="10"/>
  <c r="K22" i="10"/>
  <c r="J22" i="10"/>
  <c r="I22" i="10"/>
  <c r="H22" i="10"/>
  <c r="G22" i="10"/>
  <c r="F22" i="10"/>
  <c r="E22" i="10"/>
  <c r="D22" i="10"/>
  <c r="C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U69" i="29" s="1"/>
  <c r="G20" i="10"/>
  <c r="F20" i="10"/>
  <c r="E20" i="10"/>
  <c r="D20" i="10"/>
  <c r="C20" i="10"/>
  <c r="B20" i="10"/>
  <c r="M19" i="10"/>
  <c r="L19" i="10"/>
  <c r="K19" i="10"/>
  <c r="J19" i="10"/>
  <c r="I19" i="10"/>
  <c r="H19" i="10"/>
  <c r="J69" i="29" s="1"/>
  <c r="G19" i="10"/>
  <c r="F19" i="10"/>
  <c r="E19" i="10"/>
  <c r="D19" i="10"/>
  <c r="C19" i="10"/>
  <c r="B19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M16" i="10"/>
  <c r="L16" i="10"/>
  <c r="K16" i="10"/>
  <c r="J16" i="10"/>
  <c r="I16" i="10"/>
  <c r="H16" i="10"/>
  <c r="U13" i="29" s="1"/>
  <c r="G16" i="10"/>
  <c r="F16" i="10"/>
  <c r="E16" i="10"/>
  <c r="D16" i="10"/>
  <c r="C16" i="10"/>
  <c r="B16" i="10"/>
  <c r="M15" i="10"/>
  <c r="L15" i="10"/>
  <c r="K15" i="10"/>
  <c r="J15" i="10"/>
  <c r="I15" i="10"/>
  <c r="H15" i="10"/>
  <c r="J13" i="29" s="1"/>
  <c r="G15" i="10"/>
  <c r="F15" i="10"/>
  <c r="E15" i="10"/>
  <c r="D15" i="10"/>
  <c r="C15" i="10"/>
  <c r="B15" i="10"/>
  <c r="M22" i="9"/>
  <c r="L22" i="9"/>
  <c r="K22" i="9"/>
  <c r="J22" i="9"/>
  <c r="I22" i="9"/>
  <c r="H22" i="9"/>
  <c r="U95" i="29" s="1"/>
  <c r="G22" i="9"/>
  <c r="F22" i="9"/>
  <c r="E22" i="9"/>
  <c r="D22" i="9"/>
  <c r="C22" i="9"/>
  <c r="B22" i="9"/>
  <c r="M21" i="9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M19" i="9"/>
  <c r="L19" i="9"/>
  <c r="K19" i="9"/>
  <c r="J19" i="9"/>
  <c r="I19" i="9"/>
  <c r="H19" i="9"/>
  <c r="J68" i="29" s="1"/>
  <c r="G19" i="9"/>
  <c r="F19" i="9"/>
  <c r="E19" i="9"/>
  <c r="D19" i="9"/>
  <c r="C19" i="9"/>
  <c r="B19" i="9"/>
  <c r="M18" i="9"/>
  <c r="L18" i="9"/>
  <c r="K18" i="9"/>
  <c r="J18" i="9"/>
  <c r="I18" i="9"/>
  <c r="H18" i="9"/>
  <c r="G18" i="9"/>
  <c r="F18" i="9"/>
  <c r="E18" i="9"/>
  <c r="D18" i="9"/>
  <c r="C18" i="9"/>
  <c r="B18" i="9"/>
  <c r="M17" i="9"/>
  <c r="L17" i="9"/>
  <c r="K17" i="9"/>
  <c r="J17" i="9"/>
  <c r="I17" i="9"/>
  <c r="H17" i="9"/>
  <c r="J40" i="29" s="1"/>
  <c r="G17" i="9"/>
  <c r="F17" i="9"/>
  <c r="E17" i="9"/>
  <c r="D17" i="9"/>
  <c r="C17" i="9"/>
  <c r="B17" i="9"/>
  <c r="M16" i="9"/>
  <c r="L16" i="9"/>
  <c r="K16" i="9"/>
  <c r="J16" i="9"/>
  <c r="I16" i="9"/>
  <c r="H16" i="9"/>
  <c r="G16" i="9"/>
  <c r="F16" i="9"/>
  <c r="E16" i="9"/>
  <c r="D16" i="9"/>
  <c r="C16" i="9"/>
  <c r="B16" i="9"/>
  <c r="M15" i="9"/>
  <c r="L15" i="9"/>
  <c r="K15" i="9"/>
  <c r="J15" i="9"/>
  <c r="I15" i="9"/>
  <c r="H15" i="9"/>
  <c r="I12" i="29" s="1"/>
  <c r="G15" i="9"/>
  <c r="F15" i="9"/>
  <c r="E15" i="9"/>
  <c r="D15" i="9"/>
  <c r="C15" i="9"/>
  <c r="B15" i="9"/>
  <c r="M22" i="7"/>
  <c r="L22" i="7"/>
  <c r="K22" i="7"/>
  <c r="J22" i="7"/>
  <c r="I22" i="7"/>
  <c r="H22" i="7"/>
  <c r="G22" i="7"/>
  <c r="F22" i="7"/>
  <c r="T93" i="29" s="1"/>
  <c r="E22" i="7"/>
  <c r="D22" i="7"/>
  <c r="C22" i="7"/>
  <c r="B22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M19" i="7"/>
  <c r="L19" i="7"/>
  <c r="K19" i="7"/>
  <c r="J19" i="7"/>
  <c r="I19" i="7"/>
  <c r="H19" i="7"/>
  <c r="G19" i="7"/>
  <c r="F19" i="7"/>
  <c r="E19" i="7"/>
  <c r="D19" i="7"/>
  <c r="C19" i="7"/>
  <c r="B19" i="7"/>
  <c r="M18" i="7"/>
  <c r="L18" i="7"/>
  <c r="K18" i="7"/>
  <c r="J18" i="7"/>
  <c r="I18" i="7"/>
  <c r="H18" i="7"/>
  <c r="G18" i="7"/>
  <c r="F18" i="7"/>
  <c r="E18" i="7"/>
  <c r="D18" i="7"/>
  <c r="C18" i="7"/>
  <c r="B18" i="7"/>
  <c r="M17" i="7"/>
  <c r="L17" i="7"/>
  <c r="K17" i="7"/>
  <c r="J17" i="7"/>
  <c r="I17" i="7"/>
  <c r="H17" i="7"/>
  <c r="G17" i="7"/>
  <c r="F17" i="7"/>
  <c r="E17" i="7"/>
  <c r="D17" i="7"/>
  <c r="C17" i="7"/>
  <c r="B17" i="7"/>
  <c r="M16" i="7"/>
  <c r="L16" i="7"/>
  <c r="K16" i="7"/>
  <c r="J16" i="7"/>
  <c r="I16" i="7"/>
  <c r="H16" i="7"/>
  <c r="G16" i="7"/>
  <c r="F16" i="7"/>
  <c r="E16" i="7"/>
  <c r="D16" i="7"/>
  <c r="C16" i="7"/>
  <c r="B16" i="7"/>
  <c r="M15" i="7"/>
  <c r="L15" i="7"/>
  <c r="K15" i="7"/>
  <c r="J15" i="7"/>
  <c r="I15" i="7"/>
  <c r="H15" i="7"/>
  <c r="G15" i="7"/>
  <c r="F15" i="7"/>
  <c r="E15" i="7"/>
  <c r="D15" i="7"/>
  <c r="C15" i="7"/>
  <c r="B15" i="7"/>
  <c r="M22" i="6"/>
  <c r="L22" i="6"/>
  <c r="K22" i="6"/>
  <c r="J22" i="6"/>
  <c r="I22" i="6"/>
  <c r="H22" i="6"/>
  <c r="U92" i="29" s="1"/>
  <c r="G22" i="6"/>
  <c r="F22" i="6"/>
  <c r="S92" i="29" s="1"/>
  <c r="E22" i="6"/>
  <c r="D22" i="6"/>
  <c r="C22" i="6"/>
  <c r="B22" i="6"/>
  <c r="M21" i="6"/>
  <c r="L21" i="6"/>
  <c r="K21" i="6"/>
  <c r="J21" i="6"/>
  <c r="I21" i="6"/>
  <c r="H21" i="6"/>
  <c r="I92" i="29" s="1"/>
  <c r="G21" i="6"/>
  <c r="F21" i="6"/>
  <c r="H92" i="29" s="1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V37" i="29" s="1"/>
  <c r="G18" i="6"/>
  <c r="F18" i="6"/>
  <c r="E18" i="6"/>
  <c r="D18" i="6"/>
  <c r="C18" i="6"/>
  <c r="B18" i="6"/>
  <c r="M17" i="6"/>
  <c r="L17" i="6"/>
  <c r="K17" i="6"/>
  <c r="J17" i="6"/>
  <c r="I17" i="6"/>
  <c r="H17" i="6"/>
  <c r="J37" i="29" s="1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9" i="5"/>
  <c r="L19" i="5"/>
  <c r="K19" i="5"/>
  <c r="J19" i="5"/>
  <c r="I19" i="5"/>
  <c r="H19" i="5"/>
  <c r="G19" i="5"/>
  <c r="F19" i="5"/>
  <c r="E19" i="5"/>
  <c r="D19" i="5"/>
  <c r="C19" i="5"/>
  <c r="B19" i="5"/>
  <c r="M18" i="5"/>
  <c r="L18" i="5"/>
  <c r="K18" i="5"/>
  <c r="J18" i="5"/>
  <c r="I18" i="5"/>
  <c r="H18" i="5"/>
  <c r="G18" i="5"/>
  <c r="F18" i="5"/>
  <c r="E18" i="5"/>
  <c r="D18" i="5"/>
  <c r="C18" i="5"/>
  <c r="B18" i="5"/>
  <c r="M17" i="5"/>
  <c r="L17" i="5"/>
  <c r="K17" i="5"/>
  <c r="J17" i="5"/>
  <c r="I17" i="5"/>
  <c r="H17" i="5"/>
  <c r="G17" i="5"/>
  <c r="F17" i="5"/>
  <c r="E17" i="5"/>
  <c r="D17" i="5"/>
  <c r="C17" i="5"/>
  <c r="B17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22" i="4"/>
  <c r="L22" i="4"/>
  <c r="K22" i="4"/>
  <c r="J22" i="4"/>
  <c r="I22" i="4"/>
  <c r="H22" i="4"/>
  <c r="G22" i="4"/>
  <c r="F22" i="4"/>
  <c r="E22" i="4"/>
  <c r="D22" i="4"/>
  <c r="C22" i="4"/>
  <c r="B22" i="4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G20" i="4"/>
  <c r="F20" i="4"/>
  <c r="E20" i="4"/>
  <c r="D20" i="4"/>
  <c r="C20" i="4"/>
  <c r="B20" i="4"/>
  <c r="M19" i="4"/>
  <c r="L19" i="4"/>
  <c r="K19" i="4"/>
  <c r="J19" i="4"/>
  <c r="I19" i="4"/>
  <c r="H19" i="4"/>
  <c r="J63" i="29" s="1"/>
  <c r="G19" i="4"/>
  <c r="F19" i="4"/>
  <c r="E19" i="4"/>
  <c r="D19" i="4"/>
  <c r="C19" i="4"/>
  <c r="B19" i="4"/>
  <c r="M18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22" i="3"/>
  <c r="L22" i="3"/>
  <c r="K22" i="3"/>
  <c r="J22" i="3"/>
  <c r="I22" i="3"/>
  <c r="H22" i="3"/>
  <c r="G22" i="3"/>
  <c r="F22" i="3"/>
  <c r="E22" i="3"/>
  <c r="D22" i="3"/>
  <c r="C22" i="3"/>
  <c r="B22" i="3"/>
  <c r="M21" i="3"/>
  <c r="L21" i="3"/>
  <c r="K21" i="3"/>
  <c r="J21" i="3"/>
  <c r="I21" i="3"/>
  <c r="H21" i="3"/>
  <c r="G21" i="3"/>
  <c r="F21" i="3"/>
  <c r="E21" i="3"/>
  <c r="D21" i="3"/>
  <c r="C21" i="3"/>
  <c r="B21" i="3"/>
  <c r="M20" i="3"/>
  <c r="L20" i="3"/>
  <c r="K20" i="3"/>
  <c r="J20" i="3"/>
  <c r="I20" i="3"/>
  <c r="H20" i="3"/>
  <c r="G20" i="3"/>
  <c r="F20" i="3"/>
  <c r="E20" i="3"/>
  <c r="D20" i="3"/>
  <c r="C20" i="3"/>
  <c r="B20" i="3"/>
  <c r="M19" i="3"/>
  <c r="L19" i="3"/>
  <c r="K19" i="3"/>
  <c r="J19" i="3"/>
  <c r="I19" i="3"/>
  <c r="H19" i="3"/>
  <c r="G19" i="3"/>
  <c r="F19" i="3"/>
  <c r="E19" i="3"/>
  <c r="D19" i="3"/>
  <c r="C19" i="3"/>
  <c r="B19" i="3"/>
  <c r="M18" i="3"/>
  <c r="L18" i="3"/>
  <c r="K18" i="3"/>
  <c r="J18" i="3"/>
  <c r="I18" i="3"/>
  <c r="H18" i="3"/>
  <c r="G18" i="3"/>
  <c r="F18" i="3"/>
  <c r="E18" i="3"/>
  <c r="D18" i="3"/>
  <c r="C18" i="3"/>
  <c r="B18" i="3"/>
  <c r="M17" i="3"/>
  <c r="L17" i="3"/>
  <c r="K17" i="3"/>
  <c r="J17" i="3"/>
  <c r="I17" i="3"/>
  <c r="H17" i="3"/>
  <c r="G17" i="3"/>
  <c r="F17" i="3"/>
  <c r="E17" i="3"/>
  <c r="D17" i="3"/>
  <c r="C17" i="3"/>
  <c r="B17" i="3"/>
  <c r="M16" i="3"/>
  <c r="L16" i="3"/>
  <c r="K16" i="3"/>
  <c r="J16" i="3"/>
  <c r="I16" i="3"/>
  <c r="H16" i="3"/>
  <c r="G16" i="3"/>
  <c r="F16" i="3"/>
  <c r="E16" i="3"/>
  <c r="D16" i="3"/>
  <c r="C16" i="3"/>
  <c r="B16" i="3"/>
  <c r="M15" i="3"/>
  <c r="L15" i="3"/>
  <c r="K15" i="3"/>
  <c r="J15" i="3"/>
  <c r="I15" i="3"/>
  <c r="H15" i="3"/>
  <c r="G15" i="3"/>
  <c r="F15" i="3"/>
  <c r="E15" i="3"/>
  <c r="D15" i="3"/>
  <c r="C15" i="3"/>
  <c r="B15" i="3"/>
  <c r="B15" i="8"/>
  <c r="C15" i="8"/>
  <c r="D15" i="8"/>
  <c r="E15" i="8"/>
  <c r="F15" i="8"/>
  <c r="G15" i="8"/>
  <c r="H15" i="8"/>
  <c r="I15" i="8"/>
  <c r="J15" i="8"/>
  <c r="K15" i="8"/>
  <c r="L15" i="8"/>
  <c r="M15" i="8"/>
  <c r="B16" i="8"/>
  <c r="C16" i="8"/>
  <c r="D16" i="8"/>
  <c r="E16" i="8"/>
  <c r="Q11" i="29" s="1"/>
  <c r="F16" i="8"/>
  <c r="G16" i="8"/>
  <c r="H16" i="8"/>
  <c r="I16" i="8"/>
  <c r="J16" i="8"/>
  <c r="K16" i="8"/>
  <c r="L16" i="8"/>
  <c r="M16" i="8"/>
  <c r="B17" i="8"/>
  <c r="C17" i="8"/>
  <c r="D17" i="8"/>
  <c r="E17" i="8"/>
  <c r="F17" i="8"/>
  <c r="G17" i="8"/>
  <c r="H17" i="8"/>
  <c r="I17" i="8"/>
  <c r="J17" i="8"/>
  <c r="K17" i="8"/>
  <c r="L17" i="8"/>
  <c r="M17" i="8"/>
  <c r="B18" i="8"/>
  <c r="C18" i="8"/>
  <c r="D18" i="8"/>
  <c r="E18" i="8"/>
  <c r="F18" i="8"/>
  <c r="G18" i="8"/>
  <c r="H18" i="8"/>
  <c r="I18" i="8"/>
  <c r="J18" i="8"/>
  <c r="K18" i="8"/>
  <c r="L18" i="8"/>
  <c r="M18" i="8"/>
  <c r="B19" i="8"/>
  <c r="C19" i="8"/>
  <c r="D19" i="8"/>
  <c r="E19" i="8"/>
  <c r="F19" i="8"/>
  <c r="G19" i="8"/>
  <c r="H19" i="8"/>
  <c r="I19" i="8"/>
  <c r="J19" i="8"/>
  <c r="K19" i="8"/>
  <c r="L19" i="8"/>
  <c r="M19" i="8"/>
  <c r="B20" i="8"/>
  <c r="C20" i="8"/>
  <c r="D20" i="8"/>
  <c r="E20" i="8"/>
  <c r="F20" i="8"/>
  <c r="G20" i="8"/>
  <c r="H20" i="8"/>
  <c r="I20" i="8"/>
  <c r="J20" i="8"/>
  <c r="K20" i="8"/>
  <c r="L20" i="8"/>
  <c r="M20" i="8"/>
  <c r="B21" i="8"/>
  <c r="C21" i="8"/>
  <c r="D21" i="8"/>
  <c r="E21" i="8"/>
  <c r="F21" i="8"/>
  <c r="G21" i="8"/>
  <c r="H21" i="8"/>
  <c r="I21" i="8"/>
  <c r="J21" i="8"/>
  <c r="K21" i="8"/>
  <c r="L21" i="8"/>
  <c r="M21" i="8"/>
  <c r="B22" i="8"/>
  <c r="C22" i="8"/>
  <c r="D22" i="8"/>
  <c r="E22" i="8"/>
  <c r="F22" i="8"/>
  <c r="G22" i="8"/>
  <c r="H22" i="8"/>
  <c r="I22" i="8"/>
  <c r="J22" i="8"/>
  <c r="K22" i="8"/>
  <c r="L22" i="8"/>
  <c r="M22" i="8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F29" i="2" s="1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C15" i="2"/>
  <c r="D15" i="2"/>
  <c r="E15" i="2"/>
  <c r="F15" i="2"/>
  <c r="G26" i="2" s="1"/>
  <c r="G15" i="2"/>
  <c r="H15" i="2"/>
  <c r="I15" i="2"/>
  <c r="H26" i="2" s="1"/>
  <c r="J15" i="2"/>
  <c r="K15" i="2"/>
  <c r="L15" i="2"/>
  <c r="M15" i="2"/>
  <c r="B15" i="2"/>
  <c r="C110" i="29" l="1"/>
  <c r="C27" i="29"/>
  <c r="P53" i="29"/>
  <c r="S23" i="29"/>
  <c r="G106" i="29"/>
  <c r="G50" i="29"/>
  <c r="S20" i="29"/>
  <c r="H76" i="29"/>
  <c r="H103" i="29"/>
  <c r="V45" i="29"/>
  <c r="T72" i="29"/>
  <c r="T99" i="29"/>
  <c r="T71" i="29"/>
  <c r="H42" i="29"/>
  <c r="H13" i="29"/>
  <c r="H69" i="29"/>
  <c r="H95" i="29"/>
  <c r="T68" i="29"/>
  <c r="T94" i="29"/>
  <c r="S67" i="29"/>
  <c r="G39" i="29"/>
  <c r="G11" i="29"/>
  <c r="O10" i="29"/>
  <c r="G10" i="29"/>
  <c r="S10" i="29"/>
  <c r="S38" i="29"/>
  <c r="T66" i="29"/>
  <c r="G66" i="29"/>
  <c r="U10" i="29"/>
  <c r="I38" i="29"/>
  <c r="I66" i="29"/>
  <c r="U66" i="29"/>
  <c r="H9" i="29"/>
  <c r="G65" i="29"/>
  <c r="J9" i="29"/>
  <c r="U9" i="29"/>
  <c r="T9" i="29"/>
  <c r="H91" i="29"/>
  <c r="G8" i="29"/>
  <c r="T35" i="29"/>
  <c r="H63" i="29"/>
  <c r="H6" i="29"/>
  <c r="H89" i="29"/>
  <c r="V6" i="29"/>
  <c r="D94" i="29"/>
  <c r="V95" i="29"/>
  <c r="V47" i="29"/>
  <c r="V13" i="29"/>
  <c r="R10" i="29"/>
  <c r="E15" i="29"/>
  <c r="R52" i="29"/>
  <c r="I9" i="29"/>
  <c r="I17" i="29"/>
  <c r="C52" i="29"/>
  <c r="D52" i="29"/>
  <c r="J92" i="29"/>
  <c r="R36" i="29"/>
  <c r="F9" i="29"/>
  <c r="Q9" i="29"/>
  <c r="E37" i="29"/>
  <c r="Q37" i="29"/>
  <c r="R37" i="29"/>
  <c r="F92" i="29"/>
  <c r="R92" i="29"/>
  <c r="F10" i="29"/>
  <c r="Q38" i="29"/>
  <c r="E66" i="29"/>
  <c r="F12" i="29"/>
  <c r="R12" i="29"/>
  <c r="F40" i="29"/>
  <c r="R68" i="29"/>
  <c r="R41" i="29"/>
  <c r="F69" i="29"/>
  <c r="R96" i="29"/>
  <c r="F14" i="29"/>
  <c r="E14" i="29"/>
  <c r="F42" i="29"/>
  <c r="E42" i="29"/>
  <c r="R42" i="29"/>
  <c r="R70" i="29"/>
  <c r="F15" i="29"/>
  <c r="R15" i="29"/>
  <c r="R71" i="29"/>
  <c r="R102" i="29"/>
  <c r="F20" i="29"/>
  <c r="F48" i="29"/>
  <c r="R48" i="29"/>
  <c r="I13" i="29"/>
  <c r="T70" i="29"/>
  <c r="S102" i="29"/>
  <c r="T20" i="29"/>
  <c r="T48" i="29"/>
  <c r="H104" i="29"/>
  <c r="D27" i="29"/>
  <c r="H37" i="29"/>
  <c r="G37" i="29"/>
  <c r="T92" i="29"/>
  <c r="H10" i="29"/>
  <c r="T15" i="29"/>
  <c r="H98" i="29"/>
  <c r="T16" i="29"/>
  <c r="H20" i="29"/>
  <c r="S105" i="29"/>
  <c r="T24" i="29"/>
  <c r="U38" i="29"/>
  <c r="U93" i="29"/>
  <c r="V93" i="29"/>
  <c r="V12" i="29"/>
  <c r="U12" i="29"/>
  <c r="V68" i="29"/>
  <c r="U68" i="29"/>
  <c r="V41" i="29"/>
  <c r="U41" i="29"/>
  <c r="J19" i="29"/>
  <c r="I19" i="29"/>
  <c r="V19" i="29"/>
  <c r="U19" i="29"/>
  <c r="J47" i="29"/>
  <c r="I47" i="29"/>
  <c r="V75" i="29"/>
  <c r="U75" i="29"/>
  <c r="V10" i="29"/>
  <c r="V69" i="29"/>
  <c r="G103" i="29"/>
  <c r="Q10" i="29"/>
  <c r="G93" i="29"/>
  <c r="H93" i="29"/>
  <c r="S110" i="29"/>
  <c r="G9" i="29"/>
  <c r="T65" i="29"/>
  <c r="T38" i="29"/>
  <c r="H72" i="29"/>
  <c r="H101" i="29"/>
  <c r="T75" i="29"/>
  <c r="V64" i="29"/>
  <c r="I10" i="29"/>
  <c r="J10" i="29"/>
  <c r="I93" i="29"/>
  <c r="J93" i="29"/>
  <c r="J95" i="29"/>
  <c r="I95" i="29"/>
  <c r="V97" i="29"/>
  <c r="U97" i="29"/>
  <c r="J15" i="29"/>
  <c r="I15" i="29"/>
  <c r="V15" i="29"/>
  <c r="I43" i="29"/>
  <c r="V98" i="29"/>
  <c r="U98" i="29"/>
  <c r="J16" i="29"/>
  <c r="I16" i="29"/>
  <c r="V72" i="29"/>
  <c r="U72" i="29"/>
  <c r="J99" i="29"/>
  <c r="I99" i="29"/>
  <c r="V17" i="29"/>
  <c r="U73" i="29"/>
  <c r="V100" i="29"/>
  <c r="U100" i="29"/>
  <c r="J20" i="29"/>
  <c r="I20" i="29"/>
  <c r="T67" i="29"/>
  <c r="H67" i="29"/>
  <c r="T39" i="29"/>
  <c r="T11" i="29"/>
  <c r="J38" i="29"/>
  <c r="U18" i="29"/>
  <c r="T69" i="29"/>
  <c r="T19" i="29"/>
  <c r="G78" i="29"/>
  <c r="T106" i="29"/>
  <c r="T10" i="29"/>
  <c r="U65" i="29"/>
  <c r="V65" i="29"/>
  <c r="H66" i="29"/>
  <c r="E40" i="29"/>
  <c r="J14" i="29"/>
  <c r="V16" i="29"/>
  <c r="H12" i="29"/>
  <c r="G12" i="29"/>
  <c r="H49" i="29"/>
  <c r="H105" i="29"/>
  <c r="G105" i="29"/>
  <c r="U67" i="29"/>
  <c r="S9" i="29"/>
  <c r="H65" i="29"/>
  <c r="T13" i="29"/>
  <c r="T96" i="29"/>
  <c r="H43" i="29"/>
  <c r="Q94" i="29"/>
  <c r="E67" i="29"/>
  <c r="Q39" i="29"/>
  <c r="E39" i="29"/>
  <c r="R11" i="29"/>
  <c r="E11" i="29"/>
  <c r="J66" i="29"/>
  <c r="I40" i="29"/>
  <c r="I44" i="29"/>
  <c r="T37" i="29"/>
  <c r="S37" i="29"/>
  <c r="I94" i="29"/>
  <c r="J94" i="29"/>
  <c r="U39" i="29"/>
  <c r="T12" i="29"/>
  <c r="T43" i="29"/>
  <c r="T18" i="29"/>
  <c r="H75" i="29"/>
  <c r="G76" i="29"/>
  <c r="I42" i="29"/>
  <c r="V101" i="29"/>
  <c r="T23" i="29"/>
  <c r="E77" i="29"/>
  <c r="Q22" i="29"/>
  <c r="F78" i="29"/>
  <c r="E105" i="29"/>
  <c r="F106" i="29"/>
  <c r="F110" i="29"/>
  <c r="Q110" i="29"/>
  <c r="Q27" i="29"/>
  <c r="V110" i="29"/>
  <c r="U110" i="29"/>
  <c r="U103" i="29"/>
  <c r="S94" i="29"/>
  <c r="H94" i="29"/>
  <c r="S11" i="29"/>
  <c r="H11" i="29"/>
  <c r="S39" i="29"/>
  <c r="U51" i="29"/>
  <c r="U24" i="29"/>
  <c r="I77" i="29"/>
  <c r="U54" i="29"/>
  <c r="B28" i="2"/>
  <c r="C28" i="2"/>
  <c r="P64" i="29"/>
  <c r="O9" i="29"/>
  <c r="P9" i="29"/>
  <c r="C65" i="29"/>
  <c r="D38" i="29"/>
  <c r="C93" i="29"/>
  <c r="P93" i="29"/>
  <c r="O93" i="29"/>
  <c r="D12" i="29"/>
  <c r="C12" i="29"/>
  <c r="P95" i="29"/>
  <c r="D13" i="29"/>
  <c r="C13" i="29"/>
  <c r="P13" i="29"/>
  <c r="O13" i="29"/>
  <c r="D41" i="29"/>
  <c r="C41" i="29"/>
  <c r="P96" i="29"/>
  <c r="O96" i="29"/>
  <c r="P14" i="29"/>
  <c r="O14" i="29"/>
  <c r="O42" i="29"/>
  <c r="P42" i="29"/>
  <c r="D70" i="29"/>
  <c r="C70" i="29"/>
  <c r="P97" i="29"/>
  <c r="O97" i="29"/>
  <c r="O15" i="29"/>
  <c r="P15" i="29"/>
  <c r="C71" i="29"/>
  <c r="C16" i="29"/>
  <c r="D16" i="29"/>
  <c r="C44" i="29"/>
  <c r="D17" i="29"/>
  <c r="O17" i="29"/>
  <c r="P17" i="29"/>
  <c r="C45" i="29"/>
  <c r="D45" i="29"/>
  <c r="D46" i="29"/>
  <c r="C74" i="29"/>
  <c r="D74" i="29"/>
  <c r="O101" i="29"/>
  <c r="C75" i="29"/>
  <c r="D75" i="29"/>
  <c r="P21" i="29"/>
  <c r="O21" i="29"/>
  <c r="D49" i="29"/>
  <c r="C49" i="29"/>
  <c r="P49" i="29"/>
  <c r="O49" i="29"/>
  <c r="C50" i="29"/>
  <c r="C78" i="29"/>
  <c r="D78" i="29"/>
  <c r="C105" i="29"/>
  <c r="C67" i="29"/>
  <c r="D67" i="29"/>
  <c r="B26" i="2"/>
  <c r="C26" i="2"/>
  <c r="C63" i="29"/>
  <c r="D63" i="29"/>
  <c r="O94" i="29"/>
  <c r="C6" i="29"/>
  <c r="D6" i="29"/>
  <c r="P89" i="29"/>
  <c r="P90" i="29"/>
  <c r="O91" i="29"/>
  <c r="P91" i="29"/>
  <c r="D66" i="29"/>
  <c r="D95" i="29"/>
  <c r="C95" i="29"/>
  <c r="C94" i="29"/>
  <c r="B32" i="2"/>
  <c r="C32" i="2"/>
  <c r="B27" i="2"/>
  <c r="C27" i="2"/>
  <c r="O6" i="29"/>
  <c r="P6" i="29"/>
  <c r="C34" i="29"/>
  <c r="D34" i="29"/>
  <c r="O34" i="29"/>
  <c r="C7" i="29"/>
  <c r="D7" i="29"/>
  <c r="P7" i="29"/>
  <c r="C35" i="29"/>
  <c r="D35" i="29"/>
  <c r="C90" i="29"/>
  <c r="C8" i="29"/>
  <c r="D8" i="29"/>
  <c r="O8" i="29"/>
  <c r="P8" i="29"/>
  <c r="C36" i="29"/>
  <c r="D36" i="29"/>
  <c r="O36" i="29"/>
  <c r="P36" i="29"/>
  <c r="C64" i="29"/>
  <c r="D64" i="29"/>
  <c r="C91" i="29"/>
  <c r="D91" i="29"/>
  <c r="D9" i="29"/>
  <c r="O65" i="29"/>
  <c r="P38" i="29"/>
  <c r="O38" i="29"/>
  <c r="P68" i="29"/>
  <c r="O68" i="29"/>
  <c r="C96" i="29"/>
  <c r="D96" i="29"/>
  <c r="C97" i="29"/>
  <c r="D98" i="29"/>
  <c r="C98" i="29"/>
  <c r="C73" i="29"/>
  <c r="D73" i="29"/>
  <c r="C18" i="29"/>
  <c r="D18" i="29"/>
  <c r="O74" i="29"/>
  <c r="P74" i="29"/>
  <c r="D104" i="29"/>
  <c r="C104" i="29"/>
  <c r="D22" i="29"/>
  <c r="P50" i="29"/>
  <c r="O50" i="29"/>
  <c r="P78" i="29"/>
  <c r="O78" i="29"/>
  <c r="P105" i="29"/>
  <c r="O105" i="29"/>
  <c r="D23" i="29"/>
  <c r="C23" i="29"/>
  <c r="P23" i="29"/>
  <c r="D79" i="29"/>
  <c r="C33" i="2"/>
  <c r="B33" i="2"/>
  <c r="B31" i="2"/>
  <c r="C31" i="2"/>
  <c r="B30" i="2"/>
  <c r="C30" i="2"/>
  <c r="B29" i="2"/>
  <c r="C29" i="2"/>
  <c r="P67" i="29"/>
  <c r="O67" i="29"/>
  <c r="O39" i="29"/>
  <c r="P39" i="29"/>
  <c r="D39" i="29"/>
  <c r="O62" i="29"/>
  <c r="P62" i="29"/>
  <c r="O63" i="29"/>
  <c r="P63" i="29"/>
  <c r="D10" i="29"/>
  <c r="C68" i="29"/>
  <c r="D68" i="29"/>
  <c r="O69" i="29"/>
  <c r="C14" i="29"/>
  <c r="D14" i="29"/>
  <c r="P70" i="29"/>
  <c r="O70" i="29"/>
  <c r="C15" i="29"/>
  <c r="D43" i="29"/>
  <c r="O16" i="29"/>
  <c r="P16" i="29"/>
  <c r="C99" i="29"/>
  <c r="D99" i="29"/>
  <c r="O73" i="29"/>
  <c r="P73" i="29"/>
  <c r="P18" i="29"/>
  <c r="O46" i="29"/>
  <c r="P46" i="29"/>
  <c r="C19" i="29"/>
  <c r="D19" i="29"/>
  <c r="O19" i="29"/>
  <c r="P19" i="29"/>
  <c r="C47" i="29"/>
  <c r="D47" i="29"/>
  <c r="O102" i="29"/>
  <c r="D20" i="29"/>
  <c r="C20" i="29"/>
  <c r="D48" i="29"/>
  <c r="C48" i="29"/>
  <c r="O48" i="29"/>
  <c r="D103" i="29"/>
  <c r="P22" i="29"/>
  <c r="O22" i="29"/>
  <c r="D51" i="29"/>
  <c r="C51" i="29"/>
  <c r="P10" i="29"/>
  <c r="O24" i="29"/>
  <c r="P52" i="29"/>
  <c r="O52" i="29"/>
  <c r="P107" i="29"/>
  <c r="O107" i="29"/>
  <c r="D25" i="29"/>
  <c r="C25" i="29"/>
  <c r="P81" i="29"/>
  <c r="D54" i="29"/>
  <c r="O83" i="29"/>
  <c r="P83" i="29"/>
  <c r="R6" i="29"/>
  <c r="Q6" i="29"/>
  <c r="E34" i="29"/>
  <c r="F34" i="29"/>
  <c r="R34" i="29"/>
  <c r="R62" i="29"/>
  <c r="Q62" i="29"/>
  <c r="F90" i="29"/>
  <c r="E90" i="29"/>
  <c r="E91" i="29"/>
  <c r="F91" i="29"/>
  <c r="F72" i="29"/>
  <c r="R17" i="29"/>
  <c r="Q17" i="29"/>
  <c r="R45" i="29"/>
  <c r="Q45" i="29"/>
  <c r="R100" i="29"/>
  <c r="R18" i="29"/>
  <c r="Q18" i="29"/>
  <c r="Q46" i="29"/>
  <c r="R101" i="29"/>
  <c r="Q101" i="29"/>
  <c r="R19" i="29"/>
  <c r="Q19" i="29"/>
  <c r="F47" i="29"/>
  <c r="E47" i="29"/>
  <c r="R75" i="29"/>
  <c r="Q75" i="29"/>
  <c r="E82" i="29"/>
  <c r="F82" i="29"/>
  <c r="E12" i="29"/>
  <c r="E106" i="29"/>
  <c r="F55" i="29"/>
  <c r="R38" i="29"/>
  <c r="Q15" i="29"/>
  <c r="Q48" i="29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U94" i="29"/>
  <c r="I39" i="29"/>
  <c r="U11" i="29"/>
  <c r="V11" i="29"/>
  <c r="I11" i="29"/>
  <c r="J11" i="29"/>
  <c r="E10" i="29"/>
  <c r="Q42" i="29"/>
  <c r="Q102" i="29"/>
  <c r="S48" i="29"/>
  <c r="E21" i="29"/>
  <c r="E78" i="29"/>
  <c r="C55" i="29"/>
  <c r="D55" i="29"/>
  <c r="O110" i="29"/>
  <c r="P110" i="29"/>
  <c r="E63" i="29"/>
  <c r="F63" i="29"/>
  <c r="F76" i="29"/>
  <c r="E76" i="29"/>
  <c r="R50" i="29"/>
  <c r="Q50" i="29"/>
  <c r="F25" i="29"/>
  <c r="Q70" i="29"/>
  <c r="P80" i="29"/>
  <c r="O80" i="29"/>
  <c r="C109" i="29"/>
  <c r="D109" i="29"/>
  <c r="E9" i="29"/>
  <c r="C108" i="29"/>
  <c r="D108" i="29"/>
  <c r="O26" i="29"/>
  <c r="P26" i="29"/>
  <c r="O109" i="29"/>
  <c r="P109" i="29"/>
  <c r="O27" i="29"/>
  <c r="P27" i="29"/>
  <c r="O55" i="29"/>
  <c r="P55" i="29"/>
  <c r="C53" i="29"/>
  <c r="F89" i="29"/>
  <c r="E89" i="29"/>
  <c r="E8" i="29"/>
  <c r="F8" i="29"/>
  <c r="F41" i="29"/>
  <c r="E41" i="29"/>
  <c r="E70" i="29"/>
  <c r="F98" i="29"/>
  <c r="E98" i="29"/>
  <c r="F16" i="29"/>
  <c r="E16" i="29"/>
  <c r="R16" i="29"/>
  <c r="Q16" i="29"/>
  <c r="R44" i="29"/>
  <c r="E45" i="29"/>
  <c r="F100" i="29"/>
  <c r="E100" i="29"/>
  <c r="F18" i="29"/>
  <c r="E18" i="29"/>
  <c r="F19" i="29"/>
  <c r="E19" i="29"/>
  <c r="E102" i="29"/>
  <c r="R104" i="29"/>
  <c r="Q104" i="29"/>
  <c r="R80" i="29"/>
  <c r="Q80" i="29"/>
  <c r="Q36" i="29"/>
  <c r="Q96" i="29"/>
  <c r="Q21" i="29"/>
  <c r="D106" i="29"/>
  <c r="C106" i="29"/>
  <c r="C24" i="29"/>
  <c r="D81" i="29"/>
  <c r="C81" i="29"/>
  <c r="C26" i="29"/>
  <c r="D26" i="29"/>
  <c r="D82" i="29"/>
  <c r="F62" i="29"/>
  <c r="E62" i="29"/>
  <c r="F64" i="29"/>
  <c r="E64" i="29"/>
  <c r="R66" i="29"/>
  <c r="Q66" i="29"/>
  <c r="R97" i="29"/>
  <c r="Q97" i="29"/>
  <c r="F43" i="29"/>
  <c r="E43" i="29"/>
  <c r="R43" i="29"/>
  <c r="R98" i="29"/>
  <c r="F44" i="29"/>
  <c r="E44" i="29"/>
  <c r="F99" i="29"/>
  <c r="E99" i="29"/>
  <c r="Q20" i="29"/>
  <c r="R77" i="29"/>
  <c r="Q77" i="29"/>
  <c r="R105" i="29"/>
  <c r="Q105" i="29"/>
  <c r="R23" i="29"/>
  <c r="Q23" i="29"/>
  <c r="R107" i="29"/>
  <c r="Q107" i="29"/>
  <c r="R53" i="29"/>
  <c r="Q53" i="29"/>
  <c r="F81" i="29"/>
  <c r="E81" i="29"/>
  <c r="F54" i="29"/>
  <c r="E54" i="29"/>
  <c r="F109" i="29"/>
  <c r="E109" i="29"/>
  <c r="R83" i="29"/>
  <c r="Q83" i="29"/>
  <c r="E48" i="29"/>
  <c r="E35" i="29"/>
  <c r="O53" i="29"/>
  <c r="E32" i="2"/>
  <c r="D32" i="2"/>
  <c r="F11" i="29"/>
  <c r="E92" i="29"/>
  <c r="R9" i="29"/>
  <c r="Q41" i="29"/>
  <c r="E20" i="29"/>
  <c r="R110" i="29"/>
  <c r="F7" i="29"/>
  <c r="E7" i="29"/>
  <c r="R35" i="29"/>
  <c r="Q35" i="29"/>
  <c r="R63" i="29"/>
  <c r="Q63" i="29"/>
  <c r="R8" i="29"/>
  <c r="Q8" i="29"/>
  <c r="R91" i="29"/>
  <c r="Q91" i="29"/>
  <c r="R93" i="29"/>
  <c r="Q93" i="29"/>
  <c r="F74" i="29"/>
  <c r="E74" i="29"/>
  <c r="F75" i="29"/>
  <c r="E75" i="29"/>
  <c r="F104" i="29"/>
  <c r="E104" i="29"/>
  <c r="F22" i="29"/>
  <c r="E22" i="29"/>
  <c r="R78" i="29"/>
  <c r="Q78" i="29"/>
  <c r="E23" i="29"/>
  <c r="F23" i="29"/>
  <c r="F51" i="29"/>
  <c r="E51" i="29"/>
  <c r="F24" i="29"/>
  <c r="F52" i="29"/>
  <c r="E52" i="29"/>
  <c r="F107" i="29"/>
  <c r="E107" i="29"/>
  <c r="R25" i="29"/>
  <c r="Q25" i="29"/>
  <c r="E108" i="29"/>
  <c r="R26" i="29"/>
  <c r="Q26" i="29"/>
  <c r="R54" i="29"/>
  <c r="Q54" i="29"/>
  <c r="R82" i="29"/>
  <c r="Q82" i="29"/>
  <c r="R109" i="29"/>
  <c r="Q109" i="29"/>
  <c r="Q55" i="29"/>
  <c r="E69" i="29"/>
  <c r="E33" i="2"/>
  <c r="D33" i="2"/>
  <c r="E31" i="2"/>
  <c r="D31" i="2"/>
  <c r="E30" i="2"/>
  <c r="D30" i="2"/>
  <c r="E29" i="2"/>
  <c r="E28" i="2"/>
  <c r="D28" i="2"/>
  <c r="E27" i="2"/>
  <c r="D27" i="2"/>
  <c r="R39" i="29"/>
  <c r="F39" i="29"/>
  <c r="E26" i="2"/>
  <c r="D26" i="2"/>
  <c r="F37" i="29"/>
  <c r="F66" i="29"/>
  <c r="E71" i="29"/>
  <c r="D29" i="2"/>
  <c r="T6" i="29"/>
  <c r="S6" i="29"/>
  <c r="H34" i="29"/>
  <c r="S34" i="29"/>
  <c r="T34" i="29"/>
  <c r="T89" i="29"/>
  <c r="S89" i="29"/>
  <c r="H7" i="29"/>
  <c r="G7" i="29"/>
  <c r="T7" i="29"/>
  <c r="S7" i="29"/>
  <c r="H35" i="29"/>
  <c r="G35" i="29"/>
  <c r="S35" i="29"/>
  <c r="S63" i="29"/>
  <c r="T63" i="29"/>
  <c r="H90" i="29"/>
  <c r="T90" i="29"/>
  <c r="H8" i="29"/>
  <c r="S8" i="29"/>
  <c r="T8" i="29"/>
  <c r="H36" i="29"/>
  <c r="G36" i="29"/>
  <c r="T36" i="29"/>
  <c r="S36" i="29"/>
  <c r="H64" i="29"/>
  <c r="G64" i="29"/>
  <c r="S91" i="29"/>
  <c r="T91" i="29"/>
  <c r="G40" i="29"/>
  <c r="H40" i="29"/>
  <c r="S40" i="29"/>
  <c r="G68" i="29"/>
  <c r="S68" i="29"/>
  <c r="G41" i="29"/>
  <c r="H41" i="29"/>
  <c r="S41" i="29"/>
  <c r="G69" i="29"/>
  <c r="S69" i="29"/>
  <c r="G96" i="29"/>
  <c r="S96" i="29"/>
  <c r="G14" i="29"/>
  <c r="H14" i="29"/>
  <c r="S70" i="29"/>
  <c r="H97" i="29"/>
  <c r="S97" i="29"/>
  <c r="G15" i="29"/>
  <c r="S15" i="29"/>
  <c r="G43" i="29"/>
  <c r="S43" i="29"/>
  <c r="H71" i="29"/>
  <c r="G98" i="29"/>
  <c r="S98" i="29"/>
  <c r="H16" i="29"/>
  <c r="S16" i="29"/>
  <c r="G44" i="29"/>
  <c r="S44" i="29"/>
  <c r="T44" i="29"/>
  <c r="G72" i="29"/>
  <c r="G99" i="29"/>
  <c r="H99" i="29"/>
  <c r="G17" i="29"/>
  <c r="T17" i="29"/>
  <c r="G45" i="29"/>
  <c r="S45" i="29"/>
  <c r="G73" i="29"/>
  <c r="H73" i="29"/>
  <c r="G100" i="29"/>
  <c r="S100" i="29"/>
  <c r="T100" i="29"/>
  <c r="S18" i="29"/>
  <c r="G46" i="29"/>
  <c r="H46" i="29"/>
  <c r="S46" i="29"/>
  <c r="G74" i="29"/>
  <c r="S74" i="29"/>
  <c r="T74" i="29"/>
  <c r="G101" i="29"/>
  <c r="G19" i="29"/>
  <c r="H19" i="29"/>
  <c r="S19" i="29"/>
  <c r="G47" i="29"/>
  <c r="S47" i="29"/>
  <c r="T47" i="29"/>
  <c r="G75" i="29"/>
  <c r="S75" i="29"/>
  <c r="G102" i="29"/>
  <c r="H102" i="29"/>
  <c r="T102" i="29"/>
  <c r="G20" i="29"/>
  <c r="H48" i="29"/>
  <c r="T76" i="29"/>
  <c r="S76" i="29"/>
  <c r="S103" i="29"/>
  <c r="H21" i="29"/>
  <c r="G21" i="29"/>
  <c r="T21" i="29"/>
  <c r="T49" i="29"/>
  <c r="G104" i="29"/>
  <c r="T104" i="29"/>
  <c r="S104" i="29"/>
  <c r="H22" i="29"/>
  <c r="G22" i="29"/>
  <c r="T22" i="29"/>
  <c r="S22" i="29"/>
  <c r="T78" i="29"/>
  <c r="S78" i="29"/>
  <c r="H23" i="29"/>
  <c r="G23" i="29"/>
  <c r="G51" i="29"/>
  <c r="H51" i="29"/>
  <c r="T51" i="29"/>
  <c r="S51" i="29"/>
  <c r="H79" i="29"/>
  <c r="T79" i="29"/>
  <c r="S79" i="29"/>
  <c r="H106" i="29"/>
  <c r="H24" i="29"/>
  <c r="G24" i="29"/>
  <c r="H52" i="29"/>
  <c r="G52" i="29"/>
  <c r="T52" i="29"/>
  <c r="S52" i="29"/>
  <c r="G80" i="29"/>
  <c r="H107" i="29"/>
  <c r="T107" i="29"/>
  <c r="S107" i="29"/>
  <c r="G25" i="29"/>
  <c r="T25" i="29"/>
  <c r="S25" i="29"/>
  <c r="H53" i="29"/>
  <c r="G53" i="29"/>
  <c r="T53" i="29"/>
  <c r="G81" i="29"/>
  <c r="H108" i="29"/>
  <c r="S108" i="29"/>
  <c r="T108" i="29"/>
  <c r="G26" i="29"/>
  <c r="T26" i="29"/>
  <c r="S26" i="29"/>
  <c r="H54" i="29"/>
  <c r="G54" i="29"/>
  <c r="H82" i="29"/>
  <c r="S82" i="29"/>
  <c r="T109" i="29"/>
  <c r="H27" i="29"/>
  <c r="G27" i="29"/>
  <c r="S27" i="29"/>
  <c r="H55" i="29"/>
  <c r="G55" i="29"/>
  <c r="T83" i="29"/>
  <c r="S83" i="29"/>
  <c r="H110" i="29"/>
  <c r="G110" i="29"/>
  <c r="J12" i="29"/>
  <c r="H68" i="29"/>
  <c r="T41" i="29"/>
  <c r="H96" i="29"/>
  <c r="V70" i="29"/>
  <c r="H15" i="29"/>
  <c r="H17" i="29"/>
  <c r="H74" i="29"/>
  <c r="H47" i="29"/>
  <c r="I103" i="29"/>
  <c r="J49" i="29"/>
  <c r="U52" i="29"/>
  <c r="H81" i="29"/>
  <c r="G6" i="29"/>
  <c r="G89" i="29"/>
  <c r="G91" i="29"/>
  <c r="J6" i="29"/>
  <c r="V34" i="29"/>
  <c r="U34" i="29"/>
  <c r="U89" i="29"/>
  <c r="J7" i="29"/>
  <c r="I7" i="29"/>
  <c r="V7" i="29"/>
  <c r="U7" i="29"/>
  <c r="J35" i="29"/>
  <c r="V35" i="29"/>
  <c r="V63" i="29"/>
  <c r="U63" i="29"/>
  <c r="J90" i="29"/>
  <c r="I90" i="29"/>
  <c r="V90" i="29"/>
  <c r="U90" i="29"/>
  <c r="J8" i="29"/>
  <c r="I8" i="29"/>
  <c r="V8" i="29"/>
  <c r="U8" i="29"/>
  <c r="J36" i="29"/>
  <c r="V36" i="29"/>
  <c r="U36" i="29"/>
  <c r="J64" i="29"/>
  <c r="I64" i="29"/>
  <c r="J91" i="29"/>
  <c r="I91" i="29"/>
  <c r="V91" i="29"/>
  <c r="U91" i="29"/>
  <c r="V71" i="29"/>
  <c r="V102" i="29"/>
  <c r="U102" i="29"/>
  <c r="J48" i="29"/>
  <c r="I48" i="29"/>
  <c r="V76" i="29"/>
  <c r="U76" i="29"/>
  <c r="J21" i="29"/>
  <c r="I21" i="29"/>
  <c r="V21" i="29"/>
  <c r="U21" i="29"/>
  <c r="V49" i="29"/>
  <c r="U49" i="29"/>
  <c r="V77" i="29"/>
  <c r="J104" i="29"/>
  <c r="I104" i="29"/>
  <c r="V104" i="29"/>
  <c r="U104" i="29"/>
  <c r="J22" i="29"/>
  <c r="I22" i="29"/>
  <c r="V22" i="29"/>
  <c r="U22" i="29"/>
  <c r="J50" i="29"/>
  <c r="V50" i="29"/>
  <c r="J78" i="29"/>
  <c r="I78" i="29"/>
  <c r="V78" i="29"/>
  <c r="U78" i="29"/>
  <c r="J105" i="29"/>
  <c r="I105" i="29"/>
  <c r="V105" i="29"/>
  <c r="U105" i="29"/>
  <c r="J23" i="29"/>
  <c r="J51" i="29"/>
  <c r="J79" i="29"/>
  <c r="I79" i="29"/>
  <c r="V79" i="29"/>
  <c r="U79" i="29"/>
  <c r="J106" i="29"/>
  <c r="I106" i="29"/>
  <c r="V106" i="29"/>
  <c r="U106" i="29"/>
  <c r="J24" i="29"/>
  <c r="I24" i="29"/>
  <c r="J52" i="29"/>
  <c r="V80" i="29"/>
  <c r="U80" i="29"/>
  <c r="J107" i="29"/>
  <c r="I107" i="29"/>
  <c r="V107" i="29"/>
  <c r="U107" i="29"/>
  <c r="J25" i="29"/>
  <c r="I25" i="29"/>
  <c r="V25" i="29"/>
  <c r="U25" i="29"/>
  <c r="J53" i="29"/>
  <c r="V53" i="29"/>
  <c r="U53" i="29"/>
  <c r="J81" i="29"/>
  <c r="I81" i="29"/>
  <c r="J108" i="29"/>
  <c r="I108" i="29"/>
  <c r="V108" i="29"/>
  <c r="U108" i="29"/>
  <c r="J26" i="29"/>
  <c r="V26" i="29"/>
  <c r="J54" i="29"/>
  <c r="I54" i="29"/>
  <c r="J82" i="29"/>
  <c r="I82" i="29"/>
  <c r="V82" i="29"/>
  <c r="U82" i="29"/>
  <c r="J109" i="29"/>
  <c r="I109" i="29"/>
  <c r="J27" i="29"/>
  <c r="I27" i="29"/>
  <c r="V27" i="29"/>
  <c r="U27" i="29"/>
  <c r="J55" i="29"/>
  <c r="I55" i="29"/>
  <c r="J83" i="29"/>
  <c r="I83" i="29"/>
  <c r="V83" i="29"/>
  <c r="U83" i="29"/>
  <c r="U37" i="29"/>
  <c r="T95" i="29"/>
  <c r="T14" i="29"/>
  <c r="H70" i="29"/>
  <c r="V43" i="29"/>
  <c r="I98" i="29"/>
  <c r="I72" i="29"/>
  <c r="I45" i="29"/>
  <c r="I18" i="29"/>
  <c r="I101" i="29"/>
  <c r="U20" i="29"/>
  <c r="I80" i="29"/>
  <c r="U6" i="29"/>
  <c r="I26" i="2"/>
  <c r="J34" i="29"/>
  <c r="I34" i="29"/>
  <c r="J62" i="29"/>
  <c r="I62" i="29"/>
  <c r="V62" i="29"/>
  <c r="I89" i="29"/>
  <c r="G33" i="2"/>
  <c r="F33" i="2"/>
  <c r="G32" i="2"/>
  <c r="F32" i="2"/>
  <c r="G31" i="2"/>
  <c r="F31" i="2"/>
  <c r="G30" i="2"/>
  <c r="F30" i="2"/>
  <c r="G29" i="2"/>
  <c r="G28" i="2"/>
  <c r="G27" i="2"/>
  <c r="F27" i="2"/>
  <c r="I37" i="29"/>
  <c r="T40" i="29"/>
  <c r="U14" i="29"/>
  <c r="I76" i="29"/>
  <c r="I63" i="29"/>
  <c r="G34" i="29"/>
  <c r="P11" i="29" l="1"/>
  <c r="U40" i="29"/>
  <c r="F71" i="29"/>
  <c r="F35" i="29"/>
  <c r="F45" i="29"/>
  <c r="E53" i="29"/>
  <c r="Q34" i="29"/>
  <c r="D101" i="29"/>
  <c r="C79" i="29"/>
  <c r="O7" i="29"/>
  <c r="D71" i="29"/>
  <c r="G67" i="29"/>
  <c r="V40" i="29"/>
  <c r="E6" i="29"/>
  <c r="P75" i="29"/>
  <c r="U81" i="29"/>
  <c r="I96" i="29"/>
  <c r="U64" i="29"/>
  <c r="T110" i="29"/>
  <c r="I102" i="29"/>
  <c r="V92" i="29"/>
  <c r="E80" i="29"/>
  <c r="Q99" i="29"/>
  <c r="D110" i="29"/>
  <c r="F53" i="29"/>
  <c r="O106" i="29"/>
  <c r="P51" i="29"/>
  <c r="S77" i="29"/>
  <c r="G18" i="29"/>
  <c r="S99" i="29"/>
  <c r="G70" i="29"/>
  <c r="G90" i="29"/>
  <c r="Q65" i="29"/>
  <c r="Q67" i="29"/>
  <c r="R55" i="29"/>
  <c r="F26" i="29"/>
  <c r="R106" i="29"/>
  <c r="F96" i="29"/>
  <c r="R108" i="29"/>
  <c r="R79" i="29"/>
  <c r="R20" i="29"/>
  <c r="D83" i="29"/>
  <c r="Q13" i="29"/>
  <c r="R22" i="29"/>
  <c r="Q74" i="29"/>
  <c r="Q44" i="29"/>
  <c r="F17" i="29"/>
  <c r="O108" i="29"/>
  <c r="R103" i="29"/>
  <c r="R14" i="29"/>
  <c r="O25" i="29"/>
  <c r="C42" i="29"/>
  <c r="P76" i="29"/>
  <c r="O75" i="29"/>
  <c r="P43" i="29"/>
  <c r="O23" i="29"/>
  <c r="D37" i="29"/>
  <c r="D89" i="29"/>
  <c r="P71" i="29"/>
  <c r="C92" i="29"/>
  <c r="O77" i="29"/>
  <c r="O103" i="29"/>
  <c r="D100" i="29"/>
  <c r="D72" i="29"/>
  <c r="O41" i="29"/>
  <c r="C40" i="29"/>
  <c r="E55" i="29"/>
  <c r="V73" i="29"/>
  <c r="J96" i="29"/>
  <c r="S54" i="29"/>
  <c r="J102" i="29"/>
  <c r="V46" i="29"/>
  <c r="R13" i="29"/>
  <c r="Q7" i="29"/>
  <c r="F105" i="29"/>
  <c r="F50" i="29"/>
  <c r="E36" i="29"/>
  <c r="D24" i="29"/>
  <c r="F70" i="29"/>
  <c r="Q47" i="29"/>
  <c r="F77" i="29"/>
  <c r="O90" i="29"/>
  <c r="O95" i="29"/>
  <c r="I65" i="29"/>
  <c r="O82" i="29"/>
  <c r="C101" i="29"/>
  <c r="O104" i="29"/>
  <c r="P35" i="29"/>
  <c r="E17" i="29"/>
  <c r="O76" i="29"/>
  <c r="S21" i="29"/>
  <c r="T101" i="29"/>
  <c r="J67" i="29"/>
  <c r="J70" i="29"/>
  <c r="S64" i="29"/>
  <c r="I74" i="29"/>
  <c r="F38" i="29"/>
  <c r="T103" i="29"/>
  <c r="E50" i="29"/>
  <c r="F36" i="29"/>
  <c r="P37" i="29"/>
  <c r="D102" i="29"/>
  <c r="C21" i="29"/>
  <c r="O66" i="29"/>
  <c r="E79" i="29"/>
  <c r="Q90" i="29"/>
  <c r="V67" i="29"/>
  <c r="Q100" i="29"/>
  <c r="G92" i="29"/>
  <c r="S50" i="29"/>
  <c r="R90" i="29"/>
  <c r="R81" i="29"/>
  <c r="F101" i="29"/>
  <c r="E38" i="29"/>
  <c r="V39" i="29"/>
  <c r="R64" i="29"/>
  <c r="D80" i="29"/>
  <c r="F93" i="29"/>
  <c r="D76" i="29"/>
  <c r="O47" i="29"/>
  <c r="O18" i="29"/>
  <c r="C10" i="29"/>
  <c r="O20" i="29"/>
  <c r="C9" i="29"/>
  <c r="D62" i="29"/>
  <c r="D11" i="29"/>
  <c r="O79" i="29"/>
  <c r="C77" i="29"/>
  <c r="P45" i="29"/>
  <c r="P44" i="29"/>
  <c r="O12" i="29"/>
  <c r="O92" i="29"/>
  <c r="Q52" i="29"/>
  <c r="U74" i="29"/>
  <c r="J73" i="29"/>
  <c r="J43" i="29"/>
  <c r="J41" i="29"/>
  <c r="J46" i="29"/>
  <c r="E103" i="29"/>
  <c r="F97" i="29"/>
  <c r="E65" i="29"/>
  <c r="U48" i="29"/>
  <c r="E72" i="29"/>
  <c r="C103" i="29"/>
  <c r="P94" i="29"/>
  <c r="C17" i="29"/>
  <c r="G49" i="29"/>
  <c r="G16" i="29"/>
  <c r="P100" i="29"/>
  <c r="C69" i="29"/>
  <c r="F67" i="29"/>
  <c r="E26" i="29"/>
  <c r="Q43" i="29"/>
  <c r="R99" i="29"/>
  <c r="S24" i="29"/>
  <c r="O37" i="29"/>
  <c r="D21" i="29"/>
  <c r="O99" i="29"/>
  <c r="P66" i="29"/>
  <c r="U46" i="29"/>
  <c r="S93" i="29"/>
  <c r="U26" i="29"/>
  <c r="T77" i="29"/>
  <c r="P25" i="29"/>
  <c r="P41" i="29"/>
  <c r="V44" i="29"/>
  <c r="I73" i="29"/>
  <c r="I41" i="29"/>
  <c r="H80" i="29"/>
  <c r="I46" i="29"/>
  <c r="I75" i="29"/>
  <c r="E13" i="29"/>
  <c r="G79" i="29"/>
  <c r="T50" i="29"/>
  <c r="G62" i="29"/>
  <c r="C82" i="29"/>
  <c r="Q71" i="29"/>
  <c r="P54" i="29"/>
  <c r="C62" i="29"/>
  <c r="P79" i="29"/>
  <c r="O45" i="29"/>
  <c r="O44" i="29"/>
  <c r="P12" i="29"/>
  <c r="P92" i="29"/>
  <c r="Q24" i="29"/>
  <c r="S66" i="29"/>
  <c r="U17" i="29"/>
  <c r="U15" i="29"/>
  <c r="V96" i="29"/>
  <c r="V38" i="29"/>
  <c r="F103" i="29"/>
  <c r="F68" i="29"/>
  <c r="F65" i="29"/>
  <c r="I69" i="29"/>
  <c r="F21" i="29"/>
  <c r="I70" i="29"/>
  <c r="Q106" i="29"/>
  <c r="Q108" i="29"/>
  <c r="Q79" i="29"/>
  <c r="P106" i="29"/>
  <c r="O89" i="29"/>
  <c r="R7" i="29"/>
  <c r="I53" i="29"/>
  <c r="I51" i="29"/>
  <c r="U50" i="29"/>
  <c r="I6" i="29"/>
  <c r="R67" i="29"/>
  <c r="Q95" i="29"/>
  <c r="Q51" i="29"/>
  <c r="C43" i="29"/>
  <c r="O71" i="29"/>
  <c r="C72" i="29"/>
  <c r="G13" i="29"/>
  <c r="E94" i="29"/>
  <c r="Q12" i="29"/>
  <c r="I23" i="29"/>
  <c r="H44" i="29"/>
  <c r="H83" i="29"/>
  <c r="S80" i="29"/>
  <c r="S101" i="29"/>
  <c r="S95" i="29"/>
  <c r="F94" i="29"/>
  <c r="C107" i="29"/>
  <c r="V94" i="29"/>
  <c r="C39" i="29"/>
  <c r="P20" i="29"/>
  <c r="C11" i="29"/>
  <c r="D77" i="29"/>
  <c r="I68" i="29"/>
  <c r="E49" i="29"/>
  <c r="F102" i="29"/>
  <c r="P24" i="29"/>
  <c r="P69" i="29"/>
  <c r="V89" i="29"/>
  <c r="H26" i="29"/>
  <c r="H25" i="29"/>
  <c r="S12" i="29"/>
  <c r="F49" i="29"/>
  <c r="R24" i="29"/>
  <c r="R47" i="29"/>
  <c r="E68" i="29"/>
  <c r="P102" i="29"/>
  <c r="C22" i="29"/>
  <c r="P72" i="29"/>
  <c r="I67" i="29"/>
  <c r="G94" i="29"/>
  <c r="U35" i="29"/>
  <c r="G108" i="29"/>
  <c r="H78" i="29"/>
  <c r="S71" i="29"/>
  <c r="S13" i="29"/>
  <c r="S62" i="29"/>
  <c r="C80" i="29"/>
  <c r="C76" i="29"/>
  <c r="P103" i="29"/>
  <c r="D40" i="29"/>
  <c r="T42" i="29"/>
  <c r="E95" i="29"/>
  <c r="G77" i="29"/>
  <c r="T62" i="29"/>
  <c r="C54" i="29"/>
  <c r="D93" i="29"/>
  <c r="R21" i="29"/>
  <c r="S17" i="29"/>
  <c r="Q68" i="29"/>
  <c r="R46" i="29"/>
  <c r="O98" i="29"/>
  <c r="P99" i="29"/>
  <c r="J65" i="29"/>
  <c r="E96" i="29"/>
  <c r="P108" i="29"/>
  <c r="O81" i="29"/>
  <c r="O43" i="29"/>
  <c r="O51" i="29"/>
  <c r="O72" i="29"/>
  <c r="P104" i="29"/>
  <c r="I36" i="29"/>
  <c r="H100" i="29"/>
  <c r="H109" i="29"/>
  <c r="F108" i="29"/>
  <c r="Q81" i="29"/>
  <c r="E101" i="29"/>
  <c r="C83" i="29"/>
  <c r="E110" i="29"/>
  <c r="Q64" i="29"/>
  <c r="J39" i="29"/>
  <c r="D92" i="29"/>
  <c r="E97" i="29"/>
  <c r="G83" i="29"/>
  <c r="E46" i="29"/>
  <c r="J89" i="29"/>
  <c r="U109" i="29"/>
  <c r="G63" i="29"/>
  <c r="S72" i="29"/>
  <c r="S14" i="29"/>
  <c r="R40" i="29"/>
  <c r="E83" i="29"/>
  <c r="E24" i="29"/>
  <c r="Q72" i="29"/>
  <c r="Q98" i="29"/>
  <c r="P82" i="29"/>
  <c r="S90" i="29"/>
  <c r="F83" i="29"/>
  <c r="R72" i="29"/>
  <c r="R89" i="29"/>
  <c r="Q69" i="29"/>
  <c r="O11" i="29"/>
  <c r="O40" i="29"/>
  <c r="J74" i="29"/>
  <c r="Q14" i="29"/>
  <c r="P40" i="29"/>
  <c r="G109" i="29"/>
  <c r="I52" i="29"/>
  <c r="U77" i="29"/>
  <c r="G48" i="29"/>
  <c r="S42" i="29"/>
  <c r="R74" i="29"/>
  <c r="D97" i="29"/>
  <c r="C37" i="29"/>
  <c r="C89" i="29"/>
  <c r="P77" i="29"/>
  <c r="C100" i="29"/>
  <c r="C38" i="29"/>
  <c r="R27" i="29"/>
  <c r="T54" i="29"/>
  <c r="R65" i="29"/>
  <c r="I110" i="29"/>
  <c r="I26" i="29"/>
  <c r="I50" i="29"/>
  <c r="U71" i="29"/>
  <c r="I35" i="29"/>
  <c r="G82" i="29"/>
  <c r="F46" i="29"/>
  <c r="Q89" i="29"/>
  <c r="F80" i="29"/>
  <c r="T64" i="29"/>
  <c r="P98" i="29"/>
  <c r="P65" i="29"/>
  <c r="D50" i="29"/>
  <c r="O64" i="29"/>
  <c r="S109" i="29"/>
  <c r="G97" i="29"/>
  <c r="R69" i="29"/>
  <c r="Q103" i="29"/>
  <c r="C102" i="29"/>
  <c r="O100" i="29"/>
  <c r="D69" i="29"/>
  <c r="O35" i="29"/>
  <c r="H18" i="29"/>
  <c r="H38" i="29"/>
  <c r="E27" i="29"/>
  <c r="E93" i="29"/>
  <c r="P47" i="29"/>
  <c r="F6" i="29"/>
  <c r="G107" i="29"/>
  <c r="G42" i="29"/>
  <c r="F27" i="29"/>
  <c r="F79" i="29"/>
  <c r="R95" i="29"/>
  <c r="R51" i="29"/>
  <c r="H77" i="29"/>
  <c r="G71" i="29"/>
  <c r="Q49" i="29"/>
  <c r="Q76" i="29"/>
  <c r="G38" i="29"/>
  <c r="Q73" i="29"/>
  <c r="F13" i="29"/>
  <c r="E25" i="29"/>
  <c r="E73" i="29"/>
  <c r="O54" i="29"/>
  <c r="F73" i="29"/>
  <c r="P34" i="29"/>
  <c r="P101" i="29"/>
  <c r="D44" i="29"/>
  <c r="U62" i="29"/>
  <c r="J110" i="29"/>
  <c r="V109" i="29"/>
  <c r="S55" i="29"/>
  <c r="T80" i="29"/>
  <c r="H50" i="29"/>
  <c r="S49" i="29"/>
  <c r="S73" i="29"/>
  <c r="G95" i="29"/>
  <c r="H62" i="29"/>
  <c r="R94" i="29"/>
  <c r="Q40" i="29"/>
  <c r="Q92" i="29"/>
  <c r="P48" i="29"/>
  <c r="D90" i="29"/>
  <c r="D105" i="29"/>
  <c r="D65" i="29"/>
  <c r="H45" i="29"/>
  <c r="R49" i="29"/>
  <c r="R73" i="29"/>
  <c r="F95" i="29"/>
  <c r="D15" i="29"/>
  <c r="C66" i="29"/>
  <c r="U96" i="29"/>
  <c r="R76" i="29"/>
</calcChain>
</file>

<file path=xl/sharedStrings.xml><?xml version="1.0" encoding="utf-8"?>
<sst xmlns="http://schemas.openxmlformats.org/spreadsheetml/2006/main" count="1636" uniqueCount="163">
  <si>
    <t>*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</si>
  <si>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</si>
  <si>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</si>
  <si>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</si>
  <si>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</si>
  <si>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</si>
  <si>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</si>
  <si>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</si>
  <si>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</si>
  <si>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</si>
  <si>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</si>
  <si>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</si>
  <si>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</si>
  <si>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</si>
  <si>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</si>
  <si>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</si>
  <si>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</si>
  <si>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</si>
  <si>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</si>
  <si>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</si>
  <si>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</si>
  <si>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Mean 1-2</t>
  </si>
  <si>
    <t>DE 1-2</t>
  </si>
  <si>
    <t>DE 7-8</t>
  </si>
  <si>
    <t>Mean 7-8</t>
  </si>
  <si>
    <t>Mean 5-6</t>
  </si>
  <si>
    <t>DE 5-6</t>
  </si>
  <si>
    <t>DE 3-4</t>
  </si>
  <si>
    <t>Mean 3-4</t>
  </si>
  <si>
    <t>a</t>
  </si>
  <si>
    <t>b</t>
  </si>
  <si>
    <t>c</t>
  </si>
  <si>
    <t>d</t>
  </si>
  <si>
    <t>e</t>
  </si>
  <si>
    <t>f</t>
  </si>
  <si>
    <t>g</t>
  </si>
  <si>
    <t>h</t>
  </si>
  <si>
    <t>LL02-pH7,4</t>
  </si>
  <si>
    <t>Blanco-pH3,8</t>
  </si>
  <si>
    <t>Blanco-pH7,4</t>
  </si>
  <si>
    <t>LL02-pH3,84</t>
  </si>
  <si>
    <t>LL02-pH3,8</t>
  </si>
  <si>
    <t>LL01-pH7,4</t>
  </si>
  <si>
    <t>LL01-pH3,84</t>
  </si>
  <si>
    <t>LL01-pH3,8</t>
  </si>
  <si>
    <t>80μl buffer 3,8                             20μlH2O                            50μl ABTS 1/5                          50μl H2O2 2/5</t>
  </si>
  <si>
    <t>80μl buffer 3,8                                 20μlH2O                            50μl ABTS 1/5                          50μl H2O2 2/5</t>
  </si>
  <si>
    <t>80μl buffer 3,8         5μl NP LL02                         15μl H2O                            50μl ABTS 1/5                          50μl H2O2 2/5</t>
  </si>
  <si>
    <t>80μl buffer 3,8         5μl NP LL02                        15μl H2O                            50μl ABTS 1/5                          50μl H2O2 2/5</t>
  </si>
  <si>
    <t>130μl buffer 3,8         5μl NP LL02                         15μl H2O                            50μl ABTS 1/5</t>
  </si>
  <si>
    <t>80μl buffer 3,8         5μl NP LL01                         15μlH2O                            50μl ABTS 1/5                          50μl H2O2 2/5</t>
  </si>
  <si>
    <t>80μl buffer 7,4         5μl NP LL01                         15μlH2O                            50μl ABTS 1/5                          50μl H2O2 2/5</t>
  </si>
  <si>
    <t>80μl buffer 7,4         5μl NP LL02                         15μl H2O                            50μl ABTS 1/5                          50μl H2O2 2/5</t>
  </si>
  <si>
    <t>130μl buffer 7,4         5μl NP LL02                         15μl H2O                            50μl ABTS 1/5</t>
  </si>
  <si>
    <t>80μl buffer 3,8         10μl NP LL01                         10μlH2O                            50μl ABTS 1/10                          50μl H2O2 2/10</t>
  </si>
  <si>
    <t>80μl buffer 7,4         10μl NP LL01                         10μlH2O                            50μl ABTS 1/10                          50μl H2O2 2/10</t>
  </si>
  <si>
    <t>80μl buffer 3,8         10μl NP LL02                         10μl H2O                            50μl ABTS 1/10                          50μl H2O2 2/10</t>
  </si>
  <si>
    <t>80μl buffer 7,4         10μl NP LL02                         10μl H2O                            50μl ABTS 1/10                          50μl H2O2 2/10</t>
  </si>
  <si>
    <t>130μl buffer 3,8         10μl NP LL02                         10μl H2O                            50μl ABTS 1/10</t>
  </si>
  <si>
    <t>130μl buffer 7,4         10μl NP LL02                         10μl H2O                            50μl ABTS 1/10</t>
  </si>
  <si>
    <t>80μl buffer 7,4                             20μlH2O                            50μl ABTS 1/5                          50μl H2O2 2/5</t>
  </si>
  <si>
    <t>80μl buffer 7,4                                20μlH2O                            50μl ABTS 1/5                          50μl H2O2 2/5</t>
  </si>
  <si>
    <t xml:space="preserve">130μl buffer 3,8         5μl NP LL01                         15μl H2O                            50μl ABTS 1/5  </t>
  </si>
  <si>
    <t>130μl buffer 7,4         5μl NP LL01                         15μl H2O                            50μl ABTS 1/5</t>
  </si>
  <si>
    <t>130μl buffer 3,8                         20μl H2O                            50μl ABTS 1/5</t>
  </si>
  <si>
    <t>130μl buffer 7,4                          20μl H2O                            50μl ABTS 1/5</t>
  </si>
  <si>
    <t xml:space="preserve">130μl buffer 3,8         10μl NP LL01                         10μl H2O                            50μl ABTS 1/10  </t>
  </si>
  <si>
    <t>130μl buffer 7,4         10μl NP LL01                         10μl H2O                            50μl ABTS 1/10</t>
  </si>
  <si>
    <t>130μl buffer 3,8                        20μl H2O                            50μl ABTS 1/5</t>
  </si>
  <si>
    <t>130μl buffer 7,4                       20μl H2O                            50μl ABTS 1/5</t>
  </si>
  <si>
    <t>80μl buffer 3,8         20μl NP LL01                         0μlH2O                            50μl ABTS 1/20                          50μl H2O2 2/20</t>
  </si>
  <si>
    <t>80μl buffer 7,4         20μl NP LL01                         0μlH2O                            50μl ABTS 1/20                          50μl H2O2 2/20</t>
  </si>
  <si>
    <t>80μl buffer 3,8         20μl NP LL02                         0μl H2O                            50μl ABTS 1/20                          50μl H2O2 2/20</t>
  </si>
  <si>
    <t>80μl buffer 7,4         20μl NP LL02                         0μl H2O                            50μl ABTS 1/20                          50μl H2O2 2/20</t>
  </si>
  <si>
    <t xml:space="preserve">130μl buffer 3,8         20μl NP LL01                         0μl H2O                            50μl ABTS 1/20  </t>
  </si>
  <si>
    <t>130μl buffer 7,4         20μl NP LL01                         0μl H2O                            50μl ABTS 1/20</t>
  </si>
  <si>
    <t>130μl buffer 3,8         20μl NP LL02                         0μl H2O                            50μl ABTS 1/20</t>
  </si>
  <si>
    <t>130μl buffer 7,4         20μl NP LL02                         0μl H2O                            50μl ABTS 1/20</t>
  </si>
  <si>
    <t>Tiempo</t>
  </si>
  <si>
    <t>A1</t>
  </si>
  <si>
    <t>A3</t>
  </si>
  <si>
    <t>A5</t>
  </si>
  <si>
    <t>A7</t>
  </si>
  <si>
    <t>B1</t>
  </si>
  <si>
    <t>B3</t>
  </si>
  <si>
    <t>B5</t>
  </si>
  <si>
    <t>B7</t>
  </si>
  <si>
    <t>C1</t>
  </si>
  <si>
    <t>C3</t>
  </si>
  <si>
    <t>C5</t>
  </si>
  <si>
    <t>C7</t>
  </si>
  <si>
    <t>D1</t>
  </si>
  <si>
    <t>D3</t>
  </si>
  <si>
    <t>D5</t>
  </si>
  <si>
    <t>D7</t>
  </si>
  <si>
    <t>E1</t>
  </si>
  <si>
    <t>E3</t>
  </si>
  <si>
    <t>E5</t>
  </si>
  <si>
    <t>E7</t>
  </si>
  <si>
    <t>F1</t>
  </si>
  <si>
    <t>F3</t>
  </si>
  <si>
    <t>F5</t>
  </si>
  <si>
    <t>F7</t>
  </si>
  <si>
    <t>G1</t>
  </si>
  <si>
    <t>G3</t>
  </si>
  <si>
    <t>G5</t>
  </si>
  <si>
    <t>G7</t>
  </si>
  <si>
    <t>H1</t>
  </si>
  <si>
    <t>H3</t>
  </si>
  <si>
    <t>H5</t>
  </si>
  <si>
    <t>H7</t>
  </si>
  <si>
    <t>Mean 9</t>
  </si>
  <si>
    <t>DE 9</t>
  </si>
  <si>
    <t>Mean 10</t>
  </si>
  <si>
    <t>DE 10</t>
  </si>
  <si>
    <t>Blanco 9</t>
  </si>
  <si>
    <t>errA1</t>
  </si>
  <si>
    <t>errA3</t>
  </si>
  <si>
    <t>errA5</t>
  </si>
  <si>
    <t>errA7</t>
  </si>
  <si>
    <t>errB1</t>
  </si>
  <si>
    <t>errB3</t>
  </si>
  <si>
    <t>errB5</t>
  </si>
  <si>
    <t>errB7</t>
  </si>
  <si>
    <t>errC1</t>
  </si>
  <si>
    <t>errC3</t>
  </si>
  <si>
    <t>errC5</t>
  </si>
  <si>
    <t>errC7</t>
  </si>
  <si>
    <t>errD1</t>
  </si>
  <si>
    <t>errD3</t>
  </si>
  <si>
    <t>errD5</t>
  </si>
  <si>
    <t>errD7</t>
  </si>
  <si>
    <t>errE1</t>
  </si>
  <si>
    <t>errE3</t>
  </si>
  <si>
    <t>errE5</t>
  </si>
  <si>
    <t>errE7</t>
  </si>
  <si>
    <t>errF1</t>
  </si>
  <si>
    <t>errF3</t>
  </si>
  <si>
    <t>errF5</t>
  </si>
  <si>
    <t>errF7</t>
  </si>
  <si>
    <t>errG1</t>
  </si>
  <si>
    <t>errG3</t>
  </si>
  <si>
    <t>errG5</t>
  </si>
  <si>
    <t>errG7</t>
  </si>
  <si>
    <t>errH1</t>
  </si>
  <si>
    <t>errH3</t>
  </si>
  <si>
    <t>errH5</t>
  </si>
  <si>
    <t>errH7</t>
  </si>
  <si>
    <t>Blanco E9</t>
  </si>
  <si>
    <t>err E9</t>
  </si>
  <si>
    <t>Blanco E10</t>
  </si>
  <si>
    <t>err E10</t>
  </si>
  <si>
    <t>Blanco A10</t>
  </si>
  <si>
    <t>errA10</t>
  </si>
  <si>
    <t>errA9</t>
  </si>
  <si>
    <t>80μl buffer 3,8         15μl NP LL01                         5μlH2O                            500μl ABTS 1/50                          500μl H2O2 2/50</t>
  </si>
  <si>
    <t>80μl buffer 7,4         15μl NP LL01                         5μlH2O                            500μl ABTS 1/50                          500μl H2O2 2/50</t>
  </si>
  <si>
    <t>80μl buffer 3,8         15μl NP LL02                         5μl H2O                            500μl ABTS 1/50                          500μl H2O2 2/50</t>
  </si>
  <si>
    <t>80μl buffer 7,4         15μl NP LL02                         5μl H2O                            500μl ABTS 1/50                          500μl H2O2 2/50</t>
  </si>
  <si>
    <t xml:space="preserve">130μl buffer 3,8         15μl NP LL01                         5μl H2O                            500μl ABTS 1/50  </t>
  </si>
  <si>
    <t>130μl buffer 7,4         15μl NP LL01                         5μl H2O                            500μl ABTS 1/50</t>
  </si>
  <si>
    <t>130μl buffer 3,8         15μl NP LL02                         5μl H2O                            500μl ABTS 1/50</t>
  </si>
  <si>
    <t>130μl buffer 7,4         15μl NP LL02                         5μl H2O                            500μl ABTS 1/50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</si>
</sst>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0" fontId="3" fillId="3" borderId="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center" vertical="center"/>
    </xf>
    <xf numFmtId="1" fontId="0" fillId="2" borderId="1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+280%20se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+280 se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2382-333B-4C8D-A482-A37E001662EC}">
  <dimension ref="B2:N12"/>
  <sheetViews>
    <sheetView tabSelected="1" topLeftCell="A5" zoomScale="80" zoomScaleNormal="80" workbookViewId="0">
      <selection activeCell="L17" sqref="L17"/>
    </sheetView>
  </sheetViews>
  <sheetFormatPr baseColWidth="10" defaultRowHeight="15" x14ac:dyDescent="0.25"/>
  <cols>
    <col min="1" max="2" width="11.42578125" style="6"/>
    <col min="3" max="3" width="20.140625" style="6" customWidth="1"/>
    <col min="4" max="14" width="19.42578125" style="6" customWidth="1"/>
    <col min="15" max="16384" width="11.42578125" style="6"/>
  </cols>
  <sheetData>
    <row r="2" spans="2:14" ht="15.75" thickBot="1" x14ac:dyDescent="0.3"/>
    <row r="3" spans="2:14" ht="15.75" customHeight="1" thickBot="1" x14ac:dyDescent="0.3">
      <c r="B3" s="7"/>
      <c r="C3" s="8" t="s">
        <v>44</v>
      </c>
      <c r="D3" s="9" t="s">
        <v>43</v>
      </c>
      <c r="E3" s="9" t="s">
        <v>42</v>
      </c>
      <c r="F3" s="9" t="s">
        <v>42</v>
      </c>
      <c r="G3" s="9" t="s">
        <v>41</v>
      </c>
      <c r="H3" s="9" t="s">
        <v>40</v>
      </c>
      <c r="I3" s="9" t="s">
        <v>37</v>
      </c>
      <c r="J3" s="9" t="s">
        <v>37</v>
      </c>
      <c r="K3" s="9" t="s">
        <v>38</v>
      </c>
      <c r="L3" s="9" t="s">
        <v>39</v>
      </c>
      <c r="M3" s="9"/>
      <c r="N3" s="10"/>
    </row>
    <row r="4" spans="2:14" ht="15.75" customHeight="1" thickBot="1" x14ac:dyDescent="0.3">
      <c r="B4" s="11"/>
      <c r="C4" s="12">
        <v>1</v>
      </c>
      <c r="D4" s="13">
        <v>2</v>
      </c>
      <c r="E4" s="13">
        <v>3</v>
      </c>
      <c r="F4" s="13">
        <v>4</v>
      </c>
      <c r="G4" s="13">
        <v>5</v>
      </c>
      <c r="H4" s="13">
        <v>6</v>
      </c>
      <c r="I4" s="13">
        <v>7</v>
      </c>
      <c r="J4" s="13">
        <v>8</v>
      </c>
      <c r="K4" s="13">
        <v>9</v>
      </c>
      <c r="L4" s="13">
        <v>10</v>
      </c>
      <c r="M4" s="13">
        <v>11</v>
      </c>
      <c r="N4" s="14">
        <v>12</v>
      </c>
    </row>
    <row r="5" spans="2:14" ht="76.5" customHeight="1" x14ac:dyDescent="0.25">
      <c r="B5" s="15" t="s">
        <v>29</v>
      </c>
      <c r="C5" s="16" t="s">
        <v>50</v>
      </c>
      <c r="D5" s="17" t="s">
        <v>50</v>
      </c>
      <c r="E5" s="17" t="s">
        <v>51</v>
      </c>
      <c r="F5" s="17" t="s">
        <v>51</v>
      </c>
      <c r="G5" s="17" t="s">
        <v>47</v>
      </c>
      <c r="H5" s="17" t="s">
        <v>48</v>
      </c>
      <c r="I5" s="17" t="s">
        <v>52</v>
      </c>
      <c r="J5" s="17" t="s">
        <v>52</v>
      </c>
      <c r="K5" s="17" t="s">
        <v>45</v>
      </c>
      <c r="L5" s="17" t="s">
        <v>60</v>
      </c>
      <c r="M5" s="18"/>
      <c r="N5" s="19"/>
    </row>
    <row r="6" spans="2:14" ht="76.5" customHeight="1" x14ac:dyDescent="0.25">
      <c r="B6" s="20" t="s">
        <v>30</v>
      </c>
      <c r="C6" s="21" t="s">
        <v>54</v>
      </c>
      <c r="D6" s="22" t="s">
        <v>54</v>
      </c>
      <c r="E6" s="22" t="s">
        <v>55</v>
      </c>
      <c r="F6" s="22" t="s">
        <v>55</v>
      </c>
      <c r="G6" s="22" t="s">
        <v>56</v>
      </c>
      <c r="H6" s="22" t="s">
        <v>56</v>
      </c>
      <c r="I6" s="22" t="s">
        <v>57</v>
      </c>
      <c r="J6" s="22" t="s">
        <v>57</v>
      </c>
      <c r="K6" s="22" t="s">
        <v>46</v>
      </c>
      <c r="L6" s="22" t="s">
        <v>61</v>
      </c>
      <c r="M6" s="23"/>
      <c r="N6" s="24"/>
    </row>
    <row r="7" spans="2:14" ht="76.5" customHeight="1" x14ac:dyDescent="0.25">
      <c r="B7" s="20" t="s">
        <v>31</v>
      </c>
      <c r="C7" s="21" t="s">
        <v>155</v>
      </c>
      <c r="D7" s="22" t="s">
        <v>155</v>
      </c>
      <c r="E7" s="22" t="s">
        <v>156</v>
      </c>
      <c r="F7" s="22" t="s">
        <v>156</v>
      </c>
      <c r="G7" s="22" t="s">
        <v>157</v>
      </c>
      <c r="H7" s="22" t="s">
        <v>157</v>
      </c>
      <c r="I7" s="22" t="s">
        <v>158</v>
      </c>
      <c r="J7" s="22" t="s">
        <v>158</v>
      </c>
      <c r="K7" s="23"/>
      <c r="L7" s="23"/>
      <c r="M7" s="23"/>
      <c r="N7" s="24"/>
    </row>
    <row r="8" spans="2:14" ht="76.5" customHeight="1" x14ac:dyDescent="0.25">
      <c r="B8" s="20" t="s">
        <v>32</v>
      </c>
      <c r="C8" s="21" t="s">
        <v>70</v>
      </c>
      <c r="D8" s="22" t="s">
        <v>70</v>
      </c>
      <c r="E8" s="22" t="s">
        <v>71</v>
      </c>
      <c r="F8" s="22" t="s">
        <v>71</v>
      </c>
      <c r="G8" s="22" t="s">
        <v>72</v>
      </c>
      <c r="H8" s="22" t="s">
        <v>72</v>
      </c>
      <c r="I8" s="22" t="s">
        <v>73</v>
      </c>
      <c r="J8" s="22" t="s">
        <v>73</v>
      </c>
      <c r="K8" s="23"/>
      <c r="L8" s="23"/>
      <c r="M8" s="23"/>
      <c r="N8" s="24"/>
    </row>
    <row r="9" spans="2:14" ht="76.5" customHeight="1" x14ac:dyDescent="0.25">
      <c r="B9" s="20" t="s">
        <v>33</v>
      </c>
      <c r="C9" s="21" t="s">
        <v>62</v>
      </c>
      <c r="D9" s="22" t="s">
        <v>62</v>
      </c>
      <c r="E9" s="22" t="s">
        <v>63</v>
      </c>
      <c r="F9" s="22" t="s">
        <v>63</v>
      </c>
      <c r="G9" s="22" t="s">
        <v>49</v>
      </c>
      <c r="H9" s="22" t="s">
        <v>49</v>
      </c>
      <c r="I9" s="22" t="s">
        <v>53</v>
      </c>
      <c r="J9" s="22" t="s">
        <v>53</v>
      </c>
      <c r="K9" s="22" t="s">
        <v>64</v>
      </c>
      <c r="L9" s="22" t="s">
        <v>65</v>
      </c>
      <c r="M9" s="23"/>
      <c r="N9" s="24"/>
    </row>
    <row r="10" spans="2:14" ht="76.5" customHeight="1" x14ac:dyDescent="0.25">
      <c r="B10" s="20" t="s">
        <v>34</v>
      </c>
      <c r="C10" s="21" t="s">
        <v>66</v>
      </c>
      <c r="D10" s="22" t="s">
        <v>66</v>
      </c>
      <c r="E10" s="22" t="s">
        <v>67</v>
      </c>
      <c r="F10" s="22" t="s">
        <v>67</v>
      </c>
      <c r="G10" s="22" t="s">
        <v>58</v>
      </c>
      <c r="H10" s="22" t="s">
        <v>58</v>
      </c>
      <c r="I10" s="22" t="s">
        <v>59</v>
      </c>
      <c r="J10" s="22" t="s">
        <v>59</v>
      </c>
      <c r="K10" s="22" t="s">
        <v>68</v>
      </c>
      <c r="L10" s="22" t="s">
        <v>69</v>
      </c>
      <c r="M10" s="23"/>
      <c r="N10" s="24"/>
    </row>
    <row r="11" spans="2:14" ht="76.5" customHeight="1" x14ac:dyDescent="0.25">
      <c r="B11" s="20" t="s">
        <v>35</v>
      </c>
      <c r="C11" s="21" t="s">
        <v>159</v>
      </c>
      <c r="D11" s="22" t="s">
        <v>159</v>
      </c>
      <c r="E11" s="22" t="s">
        <v>160</v>
      </c>
      <c r="F11" s="22" t="s">
        <v>160</v>
      </c>
      <c r="G11" s="22" t="s">
        <v>161</v>
      </c>
      <c r="H11" s="22" t="s">
        <v>161</v>
      </c>
      <c r="I11" s="22" t="s">
        <v>162</v>
      </c>
      <c r="J11" s="22" t="s">
        <v>162</v>
      </c>
      <c r="K11" s="23"/>
      <c r="L11" s="23"/>
      <c r="M11" s="23"/>
      <c r="N11" s="24"/>
    </row>
    <row r="12" spans="2:14" ht="76.5" customHeight="1" thickBot="1" x14ac:dyDescent="0.3">
      <c r="B12" s="25" t="s">
        <v>36</v>
      </c>
      <c r="C12" s="26" t="s">
        <v>74</v>
      </c>
      <c r="D12" s="27" t="s">
        <v>74</v>
      </c>
      <c r="E12" s="27" t="s">
        <v>75</v>
      </c>
      <c r="F12" s="27" t="s">
        <v>75</v>
      </c>
      <c r="G12" s="27" t="s">
        <v>76</v>
      </c>
      <c r="H12" s="27" t="s">
        <v>76</v>
      </c>
      <c r="I12" s="27" t="s">
        <v>77</v>
      </c>
      <c r="J12" s="27" t="s">
        <v>77</v>
      </c>
      <c r="K12" s="28"/>
      <c r="L12" s="28"/>
      <c r="M12" s="28"/>
      <c r="N12" s="2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F119-34C5-4F7B-8321-87DD877E41E7}">
  <dimension ref="B3:X110"/>
  <sheetViews>
    <sheetView topLeftCell="A39" workbookViewId="0">
      <selection activeCell="E85" sqref="E85"/>
    </sheetView>
  </sheetViews>
  <sheetFormatPr baseColWidth="10" defaultRowHeight="15" x14ac:dyDescent="0.25"/>
  <cols>
    <col min="1" max="1" width="11.42578125" style="30"/>
    <col min="2" max="2" width="8.5703125" style="30" customWidth="1"/>
    <col min="3" max="4" width="9.28515625" style="30" customWidth="1"/>
    <col min="5" max="5" width="10.5703125" style="30" customWidth="1"/>
    <col min="6" max="26" width="9.28515625" style="30" customWidth="1"/>
    <col min="27" max="16384" width="11.42578125" style="30"/>
  </cols>
  <sheetData>
    <row r="3" spans="2:24" ht="15.75" thickBot="1" x14ac:dyDescent="0.3"/>
    <row r="4" spans="2:24" ht="15.75" thickBot="1" x14ac:dyDescent="0.3">
      <c r="B4" s="36" t="s">
        <v>78</v>
      </c>
      <c r="C4" s="34" t="s">
        <v>79</v>
      </c>
      <c r="D4" s="35" t="s">
        <v>116</v>
      </c>
      <c r="E4" s="40" t="s">
        <v>80</v>
      </c>
      <c r="F4" s="47" t="s">
        <v>117</v>
      </c>
      <c r="G4" s="34" t="s">
        <v>81</v>
      </c>
      <c r="H4" s="35" t="s">
        <v>118</v>
      </c>
      <c r="I4" s="40" t="s">
        <v>82</v>
      </c>
      <c r="J4" s="47" t="s">
        <v>119</v>
      </c>
      <c r="K4" s="34" t="s">
        <v>115</v>
      </c>
      <c r="L4" s="35" t="s">
        <v>154</v>
      </c>
      <c r="M4" s="40"/>
      <c r="N4" s="47"/>
      <c r="O4" s="34" t="s">
        <v>83</v>
      </c>
      <c r="P4" s="35" t="s">
        <v>120</v>
      </c>
      <c r="Q4" s="40" t="s">
        <v>84</v>
      </c>
      <c r="R4" s="47" t="s">
        <v>121</v>
      </c>
      <c r="S4" s="34" t="s">
        <v>85</v>
      </c>
      <c r="T4" s="35" t="s">
        <v>122</v>
      </c>
      <c r="U4" s="40" t="s">
        <v>86</v>
      </c>
      <c r="V4" s="47" t="s">
        <v>123</v>
      </c>
      <c r="W4" s="34" t="s">
        <v>152</v>
      </c>
      <c r="X4" s="35" t="s">
        <v>153</v>
      </c>
    </row>
    <row r="5" spans="2:24" x14ac:dyDescent="0.25">
      <c r="B5" s="51">
        <v>0</v>
      </c>
      <c r="C5" s="33">
        <f>'+0 seg'!$B$26</f>
        <v>0</v>
      </c>
      <c r="D5" s="44">
        <f>'+0 seg'!$C$26</f>
        <v>0</v>
      </c>
      <c r="E5" s="41">
        <f>'+0 seg'!$D$26</f>
        <v>0</v>
      </c>
      <c r="F5" s="48">
        <f>'+0 seg'!$E$26</f>
        <v>0</v>
      </c>
      <c r="G5" s="33">
        <f>'+0 seg'!$F$26</f>
        <v>0</v>
      </c>
      <c r="H5" s="44">
        <f>'+0 seg'!$G$26</f>
        <v>0</v>
      </c>
      <c r="I5" s="41">
        <f>'+0 seg'!$H$26</f>
        <v>0</v>
      </c>
      <c r="J5" s="48">
        <f>'+0 seg'!$I$26</f>
        <v>0</v>
      </c>
      <c r="K5" s="33">
        <f>'+0 seg'!$J$26</f>
        <v>0</v>
      </c>
      <c r="L5" s="44">
        <f>'+0 seg'!$K$26</f>
        <v>0</v>
      </c>
      <c r="M5" s="41"/>
      <c r="N5" s="48"/>
      <c r="O5" s="33">
        <f>'+0 seg'!$B$27</f>
        <v>0</v>
      </c>
      <c r="P5" s="44">
        <f>'+0 seg'!$C$27</f>
        <v>0</v>
      </c>
      <c r="Q5" s="41">
        <f>'+0 seg'!$D$27</f>
        <v>0</v>
      </c>
      <c r="R5" s="48">
        <f>'+0 seg'!$E$27</f>
        <v>0</v>
      </c>
      <c r="S5" s="33">
        <f>'+0 seg'!$F$27</f>
        <v>0</v>
      </c>
      <c r="T5" s="44">
        <f>'+0 seg'!$G$27</f>
        <v>0</v>
      </c>
      <c r="U5" s="41">
        <f>'+0 seg'!$H$27</f>
        <v>0</v>
      </c>
      <c r="V5" s="48">
        <f>'+0 seg'!$I$27</f>
        <v>0</v>
      </c>
      <c r="W5" s="33">
        <f>'+0 seg'!$L$26</f>
        <v>0</v>
      </c>
      <c r="X5" s="44">
        <f>'+0 seg'!$M$26</f>
        <v>0</v>
      </c>
    </row>
    <row r="6" spans="2:24" x14ac:dyDescent="0.25">
      <c r="B6" s="52">
        <v>23</v>
      </c>
      <c r="C6" s="33">
        <f>'+23 seg'!$B$26</f>
        <v>5.0000000000000044E-4</v>
      </c>
      <c r="D6" s="44">
        <f>'+23 seg'!$C$26</f>
        <v>7.0710678118654816E-4</v>
      </c>
      <c r="E6" s="42">
        <f>'+23 seg'!$D$26</f>
        <v>-4.9999999999999351E-4</v>
      </c>
      <c r="F6" s="49">
        <f>'+23 seg'!$E$26</f>
        <v>2.1213203435596346E-3</v>
      </c>
      <c r="G6" s="31">
        <f>'+23 seg'!$F$26</f>
        <v>-5.0000000000000044E-4</v>
      </c>
      <c r="H6" s="45">
        <f>'+23 seg'!$G$26</f>
        <v>7.0710678118654816E-4</v>
      </c>
      <c r="I6" s="42">
        <f>'+23 seg'!$H$26</f>
        <v>-1.0000000000000009E-3</v>
      </c>
      <c r="J6" s="49">
        <f>'+23 seg'!$I$26</f>
        <v>0</v>
      </c>
      <c r="K6" s="31">
        <f>'+23 seg'!$J$26</f>
        <v>-4.9999999999999697E-4</v>
      </c>
      <c r="L6" s="45">
        <f>'+23 seg'!$K$26</f>
        <v>7.0710678118654328E-4</v>
      </c>
      <c r="M6" s="42"/>
      <c r="N6" s="49"/>
      <c r="O6" s="31">
        <f>'+23 seg'!$B$27</f>
        <v>0</v>
      </c>
      <c r="P6" s="45">
        <f>'+23 seg'!$C$27</f>
        <v>0</v>
      </c>
      <c r="Q6" s="42">
        <f>'+23 seg'!$D$27</f>
        <v>4.4999999999999971E-3</v>
      </c>
      <c r="R6" s="49">
        <f>'+23 seg'!$E$27</f>
        <v>3.5355339059327307E-3</v>
      </c>
      <c r="S6" s="31">
        <f>'+23 seg'!$F$27</f>
        <v>2.0000000000000018E-3</v>
      </c>
      <c r="T6" s="45">
        <f>'+23 seg'!$G$27</f>
        <v>0</v>
      </c>
      <c r="U6" s="42">
        <f>'+23 seg'!$H$27</f>
        <v>1.5000000000000013E-3</v>
      </c>
      <c r="V6" s="49">
        <f>'+23 seg'!$I$27</f>
        <v>7.0710678118654816E-4</v>
      </c>
      <c r="W6" s="31">
        <f>'+23 seg'!$L$26</f>
        <v>-9.9999999999999742E-4</v>
      </c>
      <c r="X6" s="45">
        <f>'+23 seg'!$M$26</f>
        <v>1.4142135623730913E-3</v>
      </c>
    </row>
    <row r="7" spans="2:24" x14ac:dyDescent="0.25">
      <c r="B7" s="52">
        <v>42</v>
      </c>
      <c r="C7" s="31">
        <f>'+42 seg'!$B$26</f>
        <v>5.0000000000000044E-4</v>
      </c>
      <c r="D7" s="45">
        <f>'+42 seg'!$C$26</f>
        <v>7.0710678118654816E-4</v>
      </c>
      <c r="E7" s="42">
        <f>'+42 seg'!$D$26</f>
        <v>2.5000000000000022E-3</v>
      </c>
      <c r="F7" s="49">
        <f>'+42 seg'!$E$26</f>
        <v>7.0710678118654816E-4</v>
      </c>
      <c r="G7" s="31">
        <f>'+42 seg'!$F$26</f>
        <v>-2.0000000000000018E-3</v>
      </c>
      <c r="H7" s="45">
        <f>'+42 seg'!$G$26</f>
        <v>4.2426406871192892E-3</v>
      </c>
      <c r="I7" s="42">
        <f>'+42 seg'!$H$26</f>
        <v>-5.0000000000000044E-4</v>
      </c>
      <c r="J7" s="49">
        <f>'+42 seg'!$I$26</f>
        <v>7.0710678118654816E-4</v>
      </c>
      <c r="K7" s="31">
        <f>'+42 seg'!$J$26</f>
        <v>-4.9999999999999697E-4</v>
      </c>
      <c r="L7" s="45">
        <f>'+42 seg'!$K$26</f>
        <v>7.0710678118654328E-4</v>
      </c>
      <c r="M7" s="42"/>
      <c r="N7" s="49"/>
      <c r="O7" s="31">
        <f>'+42 seg'!$B$27</f>
        <v>0</v>
      </c>
      <c r="P7" s="45">
        <f>'+42 seg'!$C$27</f>
        <v>0</v>
      </c>
      <c r="Q7" s="42">
        <f>'+42 seg'!$D$27</f>
        <v>5.4999999999999979E-3</v>
      </c>
      <c r="R7" s="49">
        <f>'+42 seg'!$E$27</f>
        <v>3.5355339059327307E-3</v>
      </c>
      <c r="S7" s="31">
        <f>'+42 seg'!$F$27</f>
        <v>1.5000000000000013E-3</v>
      </c>
      <c r="T7" s="45">
        <f>'+42 seg'!$G$27</f>
        <v>7.0710678118654816E-4</v>
      </c>
      <c r="U7" s="42">
        <f>'+42 seg'!$H$27</f>
        <v>3.0000000000000027E-3</v>
      </c>
      <c r="V7" s="49">
        <f>'+42 seg'!$I$27</f>
        <v>0</v>
      </c>
      <c r="W7" s="31">
        <f>'+42 seg'!$L$26</f>
        <v>-1.9999999999999983E-3</v>
      </c>
      <c r="X7" s="45">
        <f>'+42 seg'!$M$26</f>
        <v>2.8284271247461874E-3</v>
      </c>
    </row>
    <row r="8" spans="2:24" x14ac:dyDescent="0.25">
      <c r="B8" s="52">
        <v>61</v>
      </c>
      <c r="C8" s="31">
        <f>'+61 seg'!$B$26</f>
        <v>0</v>
      </c>
      <c r="D8" s="45">
        <f>'+61 seg'!$C$26</f>
        <v>0</v>
      </c>
      <c r="E8" s="42">
        <f>'+61 seg'!$D$26</f>
        <v>2.0000000000000018E-3</v>
      </c>
      <c r="F8" s="49">
        <f>'+61 seg'!$E$26</f>
        <v>0</v>
      </c>
      <c r="G8" s="31">
        <f>'+61 seg'!$F$26</f>
        <v>-1.5000000000000013E-3</v>
      </c>
      <c r="H8" s="45">
        <f>'+61 seg'!$G$26</f>
        <v>3.5355339059327407E-3</v>
      </c>
      <c r="I8" s="42">
        <f>'+61 seg'!$H$26</f>
        <v>0</v>
      </c>
      <c r="J8" s="49">
        <f>'+61 seg'!$I$26</f>
        <v>0</v>
      </c>
      <c r="K8" s="31">
        <f>'+61 seg'!$J$26</f>
        <v>0</v>
      </c>
      <c r="L8" s="45">
        <f>'+61 seg'!$K$26</f>
        <v>0</v>
      </c>
      <c r="M8" s="42"/>
      <c r="N8" s="49"/>
      <c r="O8" s="31">
        <f>'+61 seg'!$B$27</f>
        <v>0</v>
      </c>
      <c r="P8" s="45">
        <f>'+61 seg'!$C$27</f>
        <v>0</v>
      </c>
      <c r="Q8" s="42">
        <f>'+61 seg'!$D$27</f>
        <v>3.4999999999999962E-3</v>
      </c>
      <c r="R8" s="49">
        <f>'+61 seg'!$E$27</f>
        <v>7.0710678118653841E-4</v>
      </c>
      <c r="S8" s="31">
        <f>'+61 seg'!$F$27</f>
        <v>3.0000000000000027E-3</v>
      </c>
      <c r="T8" s="45">
        <f>'+61 seg'!$G$27</f>
        <v>1.4142135623730963E-3</v>
      </c>
      <c r="U8" s="42">
        <f>'+61 seg'!$H$27</f>
        <v>3.5000000000000031E-3</v>
      </c>
      <c r="V8" s="49">
        <f>'+61 seg'!$I$27</f>
        <v>7.0710678118654816E-4</v>
      </c>
      <c r="W8" s="31">
        <f>'+61 seg'!$L$26</f>
        <v>-1.4999999999999979E-3</v>
      </c>
      <c r="X8" s="45">
        <f>'+61 seg'!$M$26</f>
        <v>3.5355339059327355E-3</v>
      </c>
    </row>
    <row r="9" spans="2:24" x14ac:dyDescent="0.25">
      <c r="B9" s="52">
        <v>81</v>
      </c>
      <c r="C9" s="31">
        <f>'+81 seg'!$B$26</f>
        <v>9.9999999999999395E-4</v>
      </c>
      <c r="D9" s="45">
        <f>'+81 seg'!$C$26</f>
        <v>9.8130778667735948E-18</v>
      </c>
      <c r="E9" s="42">
        <f>'+81 seg'!$D$26</f>
        <v>3.5000000000000031E-3</v>
      </c>
      <c r="F9" s="49">
        <f>'+81 seg'!$E$26</f>
        <v>7.0710678118654816E-4</v>
      </c>
      <c r="G9" s="31">
        <f>'+81 seg'!$F$26</f>
        <v>-1.0000000000000009E-3</v>
      </c>
      <c r="H9" s="45">
        <f>'+81 seg'!$G$26</f>
        <v>4.2426406871192892E-3</v>
      </c>
      <c r="I9" s="42">
        <f>'+81 seg'!$H$26</f>
        <v>0</v>
      </c>
      <c r="J9" s="49">
        <f>'+81 seg'!$I$26</f>
        <v>0</v>
      </c>
      <c r="K9" s="31">
        <f>'+81 seg'!$J$26</f>
        <v>-9.9999999999999742E-4</v>
      </c>
      <c r="L9" s="45">
        <f>'+81 seg'!$K$26</f>
        <v>4.9065389333867974E-18</v>
      </c>
      <c r="M9" s="42"/>
      <c r="N9" s="49"/>
      <c r="O9" s="31">
        <f>'+81 seg'!$B$27</f>
        <v>9.9999999999998701E-4</v>
      </c>
      <c r="P9" s="45">
        <f>'+81 seg'!$C$27</f>
        <v>1.962615573354719E-17</v>
      </c>
      <c r="Q9" s="42">
        <f>'+81 seg'!$D$27</f>
        <v>2.9999999999999957E-3</v>
      </c>
      <c r="R9" s="49">
        <f>'+81 seg'!$E$27</f>
        <v>9.8130778667735948E-18</v>
      </c>
      <c r="S9" s="31">
        <f>'+81 seg'!$F$27</f>
        <v>3.0000000000000027E-3</v>
      </c>
      <c r="T9" s="45">
        <f>'+81 seg'!$G$27</f>
        <v>1.4142135623730963E-3</v>
      </c>
      <c r="U9" s="42">
        <f>'+81 seg'!$H$27</f>
        <v>4.0000000000000036E-3</v>
      </c>
      <c r="V9" s="49">
        <f>'+81 seg'!$I$27</f>
        <v>1.4142135623730963E-3</v>
      </c>
      <c r="W9" s="31">
        <f>'+81 seg'!$L$26</f>
        <v>-1.4999999999999979E-3</v>
      </c>
      <c r="X9" s="45">
        <f>'+81 seg'!$M$26</f>
        <v>3.5355339059327355E-3</v>
      </c>
    </row>
    <row r="10" spans="2:24" x14ac:dyDescent="0.25">
      <c r="B10" s="52">
        <v>101</v>
      </c>
      <c r="C10" s="31">
        <f>'+101 seg'!$B$26</f>
        <v>1.9999999999999948E-3</v>
      </c>
      <c r="D10" s="45">
        <f>'+101 seg'!$C$26</f>
        <v>1.4142135623731057E-3</v>
      </c>
      <c r="E10" s="42">
        <f>'+101 seg'!$D$26</f>
        <v>1.5000000000000013E-3</v>
      </c>
      <c r="F10" s="49">
        <f>'+101 seg'!$E$26</f>
        <v>2.1213203435596446E-3</v>
      </c>
      <c r="G10" s="31">
        <f>'+101 seg'!$F$26</f>
        <v>-6.9388939039072284E-18</v>
      </c>
      <c r="H10" s="45">
        <f>'+101 seg'!$G$26</f>
        <v>4.2426406871192788E-3</v>
      </c>
      <c r="I10" s="42">
        <f>'+101 seg'!$H$26</f>
        <v>5.0000000000000044E-4</v>
      </c>
      <c r="J10" s="49">
        <f>'+101 seg'!$I$26</f>
        <v>7.0710678118654816E-4</v>
      </c>
      <c r="K10" s="31">
        <f>'+101 seg'!$J$26</f>
        <v>1.0000000000000009E-3</v>
      </c>
      <c r="L10" s="45">
        <f>'+101 seg'!$K$26</f>
        <v>2.8284271247461927E-3</v>
      </c>
      <c r="M10" s="42"/>
      <c r="N10" s="49"/>
      <c r="O10" s="31">
        <f>'+101 seg'!$B$27</f>
        <v>9.9999999999998701E-4</v>
      </c>
      <c r="P10" s="45">
        <f>'+101 seg'!$C$27</f>
        <v>1.962615573354719E-17</v>
      </c>
      <c r="Q10" s="42">
        <f>'+101 seg'!$D$27</f>
        <v>3.9999999999999966E-3</v>
      </c>
      <c r="R10" s="49">
        <f>'+101 seg'!$E$27</f>
        <v>9.8130778667735948E-18</v>
      </c>
      <c r="S10" s="31">
        <f>'+101 seg'!$F$27</f>
        <v>4.0000000000000036E-3</v>
      </c>
      <c r="T10" s="45">
        <f>'+101 seg'!$G$27</f>
        <v>1.4142135623730963E-3</v>
      </c>
      <c r="U10" s="42">
        <f>'+101 seg'!$H$27</f>
        <v>4.500000000000004E-3</v>
      </c>
      <c r="V10" s="49">
        <f>'+101 seg'!$I$27</f>
        <v>2.1213203435596446E-3</v>
      </c>
      <c r="W10" s="31">
        <f>'+101 seg'!$L$26</f>
        <v>-1.4999999999999979E-3</v>
      </c>
      <c r="X10" s="45">
        <f>'+101 seg'!$M$26</f>
        <v>3.5355339059327355E-3</v>
      </c>
    </row>
    <row r="11" spans="2:24" x14ac:dyDescent="0.25">
      <c r="B11" s="52">
        <v>120</v>
      </c>
      <c r="C11" s="31">
        <f>'+120 seg'!$B$26</f>
        <v>1.9999999999999948E-3</v>
      </c>
      <c r="D11" s="45">
        <f>'+120 seg'!$C$26</f>
        <v>9.8130778667735948E-18</v>
      </c>
      <c r="E11" s="42">
        <f>'+120 seg'!$D$26</f>
        <v>4.500000000000004E-3</v>
      </c>
      <c r="F11" s="49">
        <f>'+120 seg'!$E$26</f>
        <v>7.0710678118654816E-4</v>
      </c>
      <c r="G11" s="31">
        <f>'+120 seg'!$F$26</f>
        <v>4.9999999999999351E-4</v>
      </c>
      <c r="H11" s="45">
        <f>'+120 seg'!$G$26</f>
        <v>3.5355339059327312E-3</v>
      </c>
      <c r="I11" s="42">
        <f>'+120 seg'!$H$26</f>
        <v>5.0000000000000044E-4</v>
      </c>
      <c r="J11" s="49">
        <f>'+120 seg'!$I$26</f>
        <v>7.0710678118654816E-4</v>
      </c>
      <c r="K11" s="31">
        <f>'+120 seg'!$J$26</f>
        <v>-5.0000000000000044E-4</v>
      </c>
      <c r="L11" s="45">
        <f>'+120 seg'!$K$26</f>
        <v>7.0710678118654816E-4</v>
      </c>
      <c r="M11" s="42"/>
      <c r="N11" s="49"/>
      <c r="O11" s="31">
        <f>'+120 seg'!$B$27</f>
        <v>4.9999999999998657E-4</v>
      </c>
      <c r="P11" s="45">
        <f>'+120 seg'!$C$27</f>
        <v>7.0710678118652854E-4</v>
      </c>
      <c r="Q11" s="42">
        <f>'+120 seg'!$D$27</f>
        <v>2.4999999999999953E-3</v>
      </c>
      <c r="R11" s="49">
        <f>'+120 seg'!$E$27</f>
        <v>7.0710678118653841E-4</v>
      </c>
      <c r="S11" s="31">
        <f>'+120 seg'!$F$27</f>
        <v>4.0000000000000036E-3</v>
      </c>
      <c r="T11" s="45">
        <f>'+120 seg'!$G$27</f>
        <v>1.4142135623730963E-3</v>
      </c>
      <c r="U11" s="42">
        <f>'+120 seg'!$H$27</f>
        <v>4.0000000000000036E-3</v>
      </c>
      <c r="V11" s="49">
        <f>'+120 seg'!$I$27</f>
        <v>1.4142135623730963E-3</v>
      </c>
      <c r="W11" s="31">
        <f>'+120 seg'!$L$26</f>
        <v>-9.9999999999999742E-4</v>
      </c>
      <c r="X11" s="45">
        <f>'+120 seg'!$M$26</f>
        <v>4.242640687119284E-3</v>
      </c>
    </row>
    <row r="12" spans="2:24" x14ac:dyDescent="0.25">
      <c r="B12" s="52">
        <v>140</v>
      </c>
      <c r="C12" s="31">
        <f>'+140 seg'!$B$26</f>
        <v>9.9999999999999395E-4</v>
      </c>
      <c r="D12" s="45">
        <f>'+140 seg'!$C$26</f>
        <v>1.4142135623730866E-3</v>
      </c>
      <c r="E12" s="42">
        <f>'+140 seg'!$D$26</f>
        <v>6.9388939039072284E-18</v>
      </c>
      <c r="F12" s="49">
        <f>'+140 seg'!$E$26</f>
        <v>7.0710678118654719E-3</v>
      </c>
      <c r="G12" s="31">
        <f>'+140 seg'!$F$26</f>
        <v>1.4999999999999944E-3</v>
      </c>
      <c r="H12" s="45">
        <f>'+140 seg'!$G$26</f>
        <v>3.5355339059327307E-3</v>
      </c>
      <c r="I12" s="42">
        <f>'+140 seg'!$H$26</f>
        <v>5.0000000000000044E-4</v>
      </c>
      <c r="J12" s="49">
        <f>'+140 seg'!$I$26</f>
        <v>7.0710678118654816E-4</v>
      </c>
      <c r="K12" s="31">
        <f>'+140 seg'!$J$26</f>
        <v>5.0000000000000044E-4</v>
      </c>
      <c r="L12" s="45">
        <f>'+140 seg'!$K$26</f>
        <v>7.0710678118654816E-4</v>
      </c>
      <c r="M12" s="42"/>
      <c r="N12" s="49"/>
      <c r="O12" s="31">
        <f>'+140 seg'!$B$27</f>
        <v>9.9999999999998701E-4</v>
      </c>
      <c r="P12" s="45">
        <f>'+140 seg'!$C$27</f>
        <v>1.962615573354719E-17</v>
      </c>
      <c r="Q12" s="42">
        <f>'+140 seg'!$D$27</f>
        <v>2.9999999999999957E-3</v>
      </c>
      <c r="R12" s="49">
        <f>'+140 seg'!$E$27</f>
        <v>9.8130778667735948E-18</v>
      </c>
      <c r="S12" s="31">
        <f>'+140 seg'!$F$27</f>
        <v>4.0000000000000036E-3</v>
      </c>
      <c r="T12" s="45">
        <f>'+140 seg'!$G$27</f>
        <v>1.4142135623730963E-3</v>
      </c>
      <c r="U12" s="42">
        <f>'+140 seg'!$H$27</f>
        <v>4.500000000000004E-3</v>
      </c>
      <c r="V12" s="49">
        <f>'+140 seg'!$I$27</f>
        <v>2.1213203435596446E-3</v>
      </c>
      <c r="W12" s="31">
        <f>'+140 seg'!$L$26</f>
        <v>-9.9999999999999742E-4</v>
      </c>
      <c r="X12" s="45">
        <f>'+140 seg'!$M$26</f>
        <v>4.242640687119284E-3</v>
      </c>
    </row>
    <row r="13" spans="2:24" x14ac:dyDescent="0.25">
      <c r="B13" s="52">
        <v>158</v>
      </c>
      <c r="C13" s="31">
        <f>'+158 seg'!$B$26</f>
        <v>2.4999999999999953E-3</v>
      </c>
      <c r="D13" s="45">
        <f>'+158 seg'!$C$26</f>
        <v>7.0710678118653841E-4</v>
      </c>
      <c r="E13" s="42">
        <f>'+158 seg'!$D$26</f>
        <v>6.5000000000000058E-3</v>
      </c>
      <c r="F13" s="49">
        <f>'+158 seg'!$E$26</f>
        <v>7.0710678118654816E-4</v>
      </c>
      <c r="G13" s="31">
        <f>'+158 seg'!$F$26</f>
        <v>2.4999999999999953E-3</v>
      </c>
      <c r="H13" s="45">
        <f>'+158 seg'!$G$26</f>
        <v>3.5355339059327312E-3</v>
      </c>
      <c r="I13" s="42">
        <f>'+158 seg'!$H$26</f>
        <v>1.0000000000000009E-3</v>
      </c>
      <c r="J13" s="49">
        <f>'+158 seg'!$I$26</f>
        <v>1.4142135623730963E-3</v>
      </c>
      <c r="K13" s="31">
        <f>'+158 seg'!$J$26</f>
        <v>-5.0000000000000044E-4</v>
      </c>
      <c r="L13" s="45">
        <f>'+158 seg'!$K$26</f>
        <v>7.0710678118654816E-4</v>
      </c>
      <c r="M13" s="42"/>
      <c r="N13" s="49"/>
      <c r="O13" s="31">
        <f>'+158 seg'!$B$27</f>
        <v>1.9999999999999879E-3</v>
      </c>
      <c r="P13" s="45">
        <f>'+158 seg'!$C$27</f>
        <v>1.962615573354719E-17</v>
      </c>
      <c r="Q13" s="42">
        <f>'+158 seg'!$D$27</f>
        <v>4.9999999999999975E-3</v>
      </c>
      <c r="R13" s="49">
        <f>'+158 seg'!$E$27</f>
        <v>1.4142135623730866E-3</v>
      </c>
      <c r="S13" s="31">
        <f>'+158 seg'!$F$27</f>
        <v>5.0000000000000044E-3</v>
      </c>
      <c r="T13" s="45">
        <f>'+158 seg'!$G$27</f>
        <v>1.4142135623730963E-3</v>
      </c>
      <c r="U13" s="42">
        <f>'+158 seg'!$H$27</f>
        <v>4.500000000000004E-3</v>
      </c>
      <c r="V13" s="49">
        <f>'+158 seg'!$I$27</f>
        <v>2.1213203435596446E-3</v>
      </c>
      <c r="W13" s="31">
        <f>'+158 seg'!$L$26</f>
        <v>-9.9999999999999742E-4</v>
      </c>
      <c r="X13" s="45">
        <f>'+158 seg'!$M$26</f>
        <v>4.242640687119284E-3</v>
      </c>
    </row>
    <row r="14" spans="2:24" x14ac:dyDescent="0.25">
      <c r="B14" s="52">
        <v>178</v>
      </c>
      <c r="C14" s="31">
        <f>'+178 seg'!$B$26</f>
        <v>3.4999999999999962E-3</v>
      </c>
      <c r="D14" s="45">
        <f>'+178 seg'!$C$26</f>
        <v>7.0710678118653841E-4</v>
      </c>
      <c r="E14" s="42">
        <f>'+178 seg'!$D$26</f>
        <v>6.9388939039072284E-18</v>
      </c>
      <c r="F14" s="49">
        <f>'+178 seg'!$E$26</f>
        <v>9.8994949366116632E-3</v>
      </c>
      <c r="G14" s="31">
        <f>'+178 seg'!$F$26</f>
        <v>2.9999999999999957E-3</v>
      </c>
      <c r="H14" s="45">
        <f>'+178 seg'!$G$26</f>
        <v>4.2426406871192788E-3</v>
      </c>
      <c r="I14" s="42">
        <f>'+178 seg'!$H$26</f>
        <v>2.0000000000000018E-3</v>
      </c>
      <c r="J14" s="49">
        <f>'+178 seg'!$I$26</f>
        <v>1.4142135623730961E-3</v>
      </c>
      <c r="K14" s="31">
        <f>'+178 seg'!$J$26</f>
        <v>-5.0000000000000044E-4</v>
      </c>
      <c r="L14" s="45">
        <f>'+178 seg'!$K$26</f>
        <v>7.0710678118654816E-4</v>
      </c>
      <c r="M14" s="42"/>
      <c r="N14" s="49"/>
      <c r="O14" s="31">
        <f>'+178 seg'!$B$27</f>
        <v>1.4999999999999875E-3</v>
      </c>
      <c r="P14" s="45">
        <f>'+178 seg'!$C$27</f>
        <v>7.0710678118652854E-4</v>
      </c>
      <c r="Q14" s="42">
        <f>'+178 seg'!$D$27</f>
        <v>3.9999999999999966E-3</v>
      </c>
      <c r="R14" s="49">
        <f>'+178 seg'!$E$27</f>
        <v>1.4142135623731061E-3</v>
      </c>
      <c r="S14" s="31">
        <f>'+178 seg'!$F$27</f>
        <v>5.0000000000000044E-3</v>
      </c>
      <c r="T14" s="45">
        <f>'+178 seg'!$G$27</f>
        <v>1.4142135623730963E-3</v>
      </c>
      <c r="U14" s="42">
        <f>'+178 seg'!$H$27</f>
        <v>4.500000000000004E-3</v>
      </c>
      <c r="V14" s="49">
        <f>'+178 seg'!$I$27</f>
        <v>2.1213203435596446E-3</v>
      </c>
      <c r="W14" s="31">
        <f>'+178 seg'!$L$26</f>
        <v>-9.9999999999999742E-4</v>
      </c>
      <c r="X14" s="45">
        <f>'+178 seg'!$M$26</f>
        <v>4.242640687119284E-3</v>
      </c>
    </row>
    <row r="15" spans="2:24" x14ac:dyDescent="0.25">
      <c r="B15" s="52">
        <v>198</v>
      </c>
      <c r="C15" s="31">
        <f>'+198 seg'!$B$26</f>
        <v>3.4999999999999962E-3</v>
      </c>
      <c r="D15" s="45">
        <f>'+198 seg'!$C$26</f>
        <v>2.1213203435596346E-3</v>
      </c>
      <c r="E15" s="42">
        <f>'+198 seg'!$D$26</f>
        <v>8.0000000000000071E-3</v>
      </c>
      <c r="F15" s="49">
        <f>'+198 seg'!$E$26</f>
        <v>1.4142135623730963E-3</v>
      </c>
      <c r="G15" s="31">
        <f>'+198 seg'!$F$26</f>
        <v>3.9999999999999966E-3</v>
      </c>
      <c r="H15" s="45">
        <f>'+198 seg'!$G$26</f>
        <v>4.2426406871192788E-3</v>
      </c>
      <c r="I15" s="42">
        <f>'+198 seg'!$H$26</f>
        <v>2.0000000000000018E-3</v>
      </c>
      <c r="J15" s="49">
        <f>'+198 seg'!$I$26</f>
        <v>1.4142135623730961E-3</v>
      </c>
      <c r="K15" s="31">
        <f>'+198 seg'!$J$26</f>
        <v>-5.0000000000000044E-4</v>
      </c>
      <c r="L15" s="45">
        <f>'+198 seg'!$K$26</f>
        <v>7.0710678118654816E-4</v>
      </c>
      <c r="M15" s="42"/>
      <c r="N15" s="49"/>
      <c r="O15" s="31">
        <f>'+198 seg'!$B$27</f>
        <v>1.9999999999999879E-3</v>
      </c>
      <c r="P15" s="45">
        <f>'+198 seg'!$C$27</f>
        <v>1.4142135623730768E-3</v>
      </c>
      <c r="Q15" s="42">
        <f>'+198 seg'!$D$27</f>
        <v>4.4999999999999971E-3</v>
      </c>
      <c r="R15" s="49">
        <f>'+198 seg'!$E$27</f>
        <v>7.0710678118653841E-4</v>
      </c>
      <c r="S15" s="31">
        <f>'+198 seg'!$F$27</f>
        <v>5.0000000000000044E-3</v>
      </c>
      <c r="T15" s="45">
        <f>'+198 seg'!$G$27</f>
        <v>0</v>
      </c>
      <c r="U15" s="42">
        <f>'+198 seg'!$H$27</f>
        <v>4.500000000000004E-3</v>
      </c>
      <c r="V15" s="49">
        <f>'+198 seg'!$I$27</f>
        <v>2.1213203435596446E-3</v>
      </c>
      <c r="W15" s="31">
        <f>'+198 seg'!$L$26</f>
        <v>-9.9999999999999742E-4</v>
      </c>
      <c r="X15" s="45">
        <f>'+198 seg'!$M$26</f>
        <v>4.242640687119284E-3</v>
      </c>
    </row>
    <row r="16" spans="2:24" x14ac:dyDescent="0.25">
      <c r="B16" s="52">
        <v>219</v>
      </c>
      <c r="C16" s="31">
        <f>'+219 seg'!$B$26</f>
        <v>3.9999999999999966E-3</v>
      </c>
      <c r="D16" s="45">
        <f>'+219 seg'!$C$26</f>
        <v>1.4142135623730866E-3</v>
      </c>
      <c r="E16" s="42">
        <f>'+219 seg'!$D$26</f>
        <v>6.0000000000000053E-3</v>
      </c>
      <c r="F16" s="49">
        <f>'+219 seg'!$E$26</f>
        <v>2.8284271247461957E-3</v>
      </c>
      <c r="G16" s="31">
        <f>'+219 seg'!$F$26</f>
        <v>4.9999999999999975E-3</v>
      </c>
      <c r="H16" s="45">
        <f>'+219 seg'!$G$26</f>
        <v>4.2426406871192788E-3</v>
      </c>
      <c r="I16" s="42">
        <f>'+219 seg'!$H$26</f>
        <v>2.0000000000000018E-3</v>
      </c>
      <c r="J16" s="49">
        <f>'+219 seg'!$I$26</f>
        <v>0</v>
      </c>
      <c r="K16" s="31">
        <f>'+219 seg'!$J$26</f>
        <v>-5.0000000000000044E-4</v>
      </c>
      <c r="L16" s="45">
        <f>'+219 seg'!$K$26</f>
        <v>7.0710678118654816E-4</v>
      </c>
      <c r="M16" s="42"/>
      <c r="N16" s="49"/>
      <c r="O16" s="31">
        <f>'+219 seg'!$B$27</f>
        <v>2.4999999999999883E-3</v>
      </c>
      <c r="P16" s="45">
        <f>'+219 seg'!$C$27</f>
        <v>7.0710678118652854E-4</v>
      </c>
      <c r="Q16" s="42">
        <f>'+219 seg'!$D$27</f>
        <v>3.9999999999999966E-3</v>
      </c>
      <c r="R16" s="49">
        <f>'+219 seg'!$E$27</f>
        <v>9.8130778667735948E-18</v>
      </c>
      <c r="S16" s="31">
        <f>'+219 seg'!$F$27</f>
        <v>5.0000000000000044E-3</v>
      </c>
      <c r="T16" s="45">
        <f>'+219 seg'!$G$27</f>
        <v>0</v>
      </c>
      <c r="U16" s="42">
        <f>'+219 seg'!$H$27</f>
        <v>5.0000000000000044E-3</v>
      </c>
      <c r="V16" s="49">
        <f>'+219 seg'!$I$27</f>
        <v>2.8284271247461922E-3</v>
      </c>
      <c r="W16" s="31">
        <f>'+219 seg'!$L$26</f>
        <v>-9.9999999999999742E-4</v>
      </c>
      <c r="X16" s="45">
        <f>'+219 seg'!$M$26</f>
        <v>4.242640687119284E-3</v>
      </c>
    </row>
    <row r="17" spans="2:24" x14ac:dyDescent="0.25">
      <c r="B17" s="52">
        <v>238</v>
      </c>
      <c r="C17" s="31">
        <f>'+238 seg'!$B$26</f>
        <v>4.4999999999999901E-3</v>
      </c>
      <c r="D17" s="45">
        <f>'+238 seg'!$C$26</f>
        <v>7.0710678118654816E-4</v>
      </c>
      <c r="E17" s="42">
        <f>'+238 seg'!$D$26</f>
        <v>6.0000000000000053E-3</v>
      </c>
      <c r="F17" s="49">
        <f>'+238 seg'!$E$26</f>
        <v>2.8284271247461957E-3</v>
      </c>
      <c r="G17" s="31">
        <f>'+238 seg'!$F$26</f>
        <v>5.9999999999999984E-3</v>
      </c>
      <c r="H17" s="45">
        <f>'+238 seg'!$G$26</f>
        <v>4.2426406871192788E-3</v>
      </c>
      <c r="I17" s="42">
        <f>'+238 seg'!$H$26</f>
        <v>2.5000000000000022E-3</v>
      </c>
      <c r="J17" s="49">
        <f>'+238 seg'!$I$26</f>
        <v>7.0710678118654816E-4</v>
      </c>
      <c r="K17" s="31">
        <f>'+238 seg'!$J$26</f>
        <v>0</v>
      </c>
      <c r="L17" s="45">
        <f>'+238 seg'!$K$26</f>
        <v>1.4142135623730963E-3</v>
      </c>
      <c r="M17" s="42"/>
      <c r="N17" s="49"/>
      <c r="O17" s="31">
        <f>'+238 seg'!$B$27</f>
        <v>3.4999999999999892E-3</v>
      </c>
      <c r="P17" s="45">
        <f>'+238 seg'!$C$27</f>
        <v>7.0710678118652854E-4</v>
      </c>
      <c r="Q17" s="42">
        <f>'+238 seg'!$D$27</f>
        <v>2.9999999999999957E-3</v>
      </c>
      <c r="R17" s="49">
        <f>'+238 seg'!$E$27</f>
        <v>9.8130778667735948E-18</v>
      </c>
      <c r="S17" s="31">
        <f>'+238 seg'!$F$27</f>
        <v>4.500000000000004E-3</v>
      </c>
      <c r="T17" s="45">
        <f>'+238 seg'!$G$27</f>
        <v>7.0710678118654816E-4</v>
      </c>
      <c r="U17" s="42">
        <f>'+238 seg'!$H$27</f>
        <v>4.500000000000004E-3</v>
      </c>
      <c r="V17" s="49">
        <f>'+238 seg'!$I$27</f>
        <v>2.1213203435596446E-3</v>
      </c>
      <c r="W17" s="31">
        <f>'+238 seg'!$L$26</f>
        <v>-4.9999999999999697E-4</v>
      </c>
      <c r="X17" s="45">
        <f>'+238 seg'!$M$26</f>
        <v>4.9497474683058316E-3</v>
      </c>
    </row>
    <row r="18" spans="2:24" x14ac:dyDescent="0.25">
      <c r="B18" s="52">
        <v>260</v>
      </c>
      <c r="C18" s="31">
        <f>'+260 seg'!$B$26</f>
        <v>3.9999999999999966E-3</v>
      </c>
      <c r="D18" s="45">
        <f>'+260 seg'!$C$26</f>
        <v>1.4142135623730866E-3</v>
      </c>
      <c r="E18" s="42">
        <f>'+260 seg'!$D$26</f>
        <v>5.5000000000000049E-3</v>
      </c>
      <c r="F18" s="49">
        <f>'+260 seg'!$E$26</f>
        <v>4.949747468305836E-3</v>
      </c>
      <c r="G18" s="31">
        <f>'+260 seg'!$F$26</f>
        <v>7.4999999999999997E-3</v>
      </c>
      <c r="H18" s="45">
        <f>'+260 seg'!$G$26</f>
        <v>3.5355339059327307E-3</v>
      </c>
      <c r="I18" s="42">
        <f>'+260 seg'!$H$26</f>
        <v>3.0000000000000027E-3</v>
      </c>
      <c r="J18" s="49">
        <f>'+260 seg'!$I$26</f>
        <v>1.4142135623730963E-3</v>
      </c>
      <c r="K18" s="31">
        <f>'+260 seg'!$J$26</f>
        <v>-5.0000000000000044E-4</v>
      </c>
      <c r="L18" s="45">
        <f>'+260 seg'!$K$26</f>
        <v>7.0710678118654816E-4</v>
      </c>
      <c r="M18" s="42"/>
      <c r="N18" s="49"/>
      <c r="O18" s="31">
        <f>'+260 seg'!$B$27</f>
        <v>2.4999999999999883E-3</v>
      </c>
      <c r="P18" s="45">
        <f>'+260 seg'!$C$27</f>
        <v>7.0710678118652854E-4</v>
      </c>
      <c r="Q18" s="42">
        <f>'+260 seg'!$D$27</f>
        <v>5.4999999999999979E-3</v>
      </c>
      <c r="R18" s="49">
        <f>'+260 seg'!$E$27</f>
        <v>2.1213203435596541E-3</v>
      </c>
      <c r="S18" s="31">
        <f>'+260 seg'!$F$27</f>
        <v>5.5000000000000049E-3</v>
      </c>
      <c r="T18" s="45">
        <f>'+260 seg'!$G$27</f>
        <v>7.0710678118654816E-4</v>
      </c>
      <c r="U18" s="42">
        <f>'+260 seg'!$H$27</f>
        <v>4.500000000000004E-3</v>
      </c>
      <c r="V18" s="49">
        <f>'+260 seg'!$I$27</f>
        <v>2.1213203435596446E-3</v>
      </c>
      <c r="W18" s="31">
        <f>'+260 seg'!$L$26</f>
        <v>-9.9999999999999742E-4</v>
      </c>
      <c r="X18" s="45">
        <f>'+260 seg'!$M$26</f>
        <v>4.242640687119284E-3</v>
      </c>
    </row>
    <row r="19" spans="2:24" x14ac:dyDescent="0.25">
      <c r="B19" s="52">
        <v>279</v>
      </c>
      <c r="C19" s="31">
        <f>'+279 seg'!$B$26</f>
        <v>4.4999999999999971E-3</v>
      </c>
      <c r="D19" s="45">
        <f>'+279 seg'!$C$26</f>
        <v>2.1213203435596346E-3</v>
      </c>
      <c r="E19" s="42">
        <f>'+279 seg'!$D$26</f>
        <v>2.5000000000000092E-3</v>
      </c>
      <c r="F19" s="49">
        <f>'+279 seg'!$E$26</f>
        <v>1.0606601717798213E-2</v>
      </c>
      <c r="G19" s="31">
        <f>'+279 seg'!$F$26</f>
        <v>8.0000000000000002E-3</v>
      </c>
      <c r="H19" s="45">
        <f>'+279 seg'!$G$26</f>
        <v>4.2426406871192788E-3</v>
      </c>
      <c r="I19" s="42">
        <f>'+279 seg'!$H$26</f>
        <v>3.0000000000000027E-3</v>
      </c>
      <c r="J19" s="49">
        <f>'+279 seg'!$I$26</f>
        <v>1.4142135623730963E-3</v>
      </c>
      <c r="K19" s="31">
        <f>'+279 seg'!$J$26</f>
        <v>-5.0000000000000044E-4</v>
      </c>
      <c r="L19" s="45">
        <f>'+279 seg'!$K$26</f>
        <v>7.0710678118654816E-4</v>
      </c>
      <c r="M19" s="42"/>
      <c r="N19" s="49"/>
      <c r="O19" s="31">
        <f>'+279 seg'!$B$27</f>
        <v>3.4999999999999892E-3</v>
      </c>
      <c r="P19" s="45">
        <f>'+279 seg'!$C$27</f>
        <v>7.0710678118652854E-4</v>
      </c>
      <c r="Q19" s="42">
        <f>'+279 seg'!$D$27</f>
        <v>4.9999999999999975E-3</v>
      </c>
      <c r="R19" s="49">
        <f>'+279 seg'!$E$27</f>
        <v>1.4142135623730866E-3</v>
      </c>
      <c r="S19" s="31">
        <f>'+279 seg'!$F$27</f>
        <v>6.5000000000000058E-3</v>
      </c>
      <c r="T19" s="45">
        <f>'+279 seg'!$G$27</f>
        <v>7.0710678118654816E-4</v>
      </c>
      <c r="U19" s="42">
        <f>'+279 seg'!$H$27</f>
        <v>5.0000000000000044E-3</v>
      </c>
      <c r="V19" s="49">
        <f>'+279 seg'!$I$27</f>
        <v>2.8284271247461922E-3</v>
      </c>
      <c r="W19" s="31">
        <f>'+279 seg'!$L$26</f>
        <v>-4.9999999999999697E-4</v>
      </c>
      <c r="X19" s="45">
        <f>'+279 seg'!$M$26</f>
        <v>4.9497474683058316E-3</v>
      </c>
    </row>
    <row r="20" spans="2:24" x14ac:dyDescent="0.25">
      <c r="B20" s="52">
        <v>300</v>
      </c>
      <c r="C20" s="31">
        <f>'+300 seg'!$B$26</f>
        <v>5.499999999999991E-3</v>
      </c>
      <c r="D20" s="45">
        <f>'+300 seg'!$C$26</f>
        <v>7.0710678118654816E-4</v>
      </c>
      <c r="E20" s="42">
        <f>'+300 seg'!$D$26</f>
        <v>1.100000000000001E-2</v>
      </c>
      <c r="F20" s="49">
        <f>'+300 seg'!$E$26</f>
        <v>1.4142135623730963E-3</v>
      </c>
      <c r="G20" s="31">
        <f>'+300 seg'!$F$26</f>
        <v>8.5000000000000006E-3</v>
      </c>
      <c r="H20" s="45">
        <f>'+300 seg'!$G$26</f>
        <v>3.5355339059327307E-3</v>
      </c>
      <c r="I20" s="42">
        <f>'+300 seg'!$H$26</f>
        <v>3.0000000000000027E-3</v>
      </c>
      <c r="J20" s="49">
        <f>'+300 seg'!$I$26</f>
        <v>1.4142135623730963E-3</v>
      </c>
      <c r="K20" s="31">
        <f>'+300 seg'!$J$26</f>
        <v>-5.0000000000000044E-4</v>
      </c>
      <c r="L20" s="45">
        <f>'+300 seg'!$K$26</f>
        <v>7.0710678118654816E-4</v>
      </c>
      <c r="M20" s="42"/>
      <c r="N20" s="49"/>
      <c r="O20" s="31">
        <f>'+300 seg'!$B$27</f>
        <v>5.499999999999991E-3</v>
      </c>
      <c r="P20" s="45">
        <f>'+300 seg'!$C$27</f>
        <v>2.1213203435596641E-3</v>
      </c>
      <c r="Q20" s="42">
        <f>'+300 seg'!$D$27</f>
        <v>4.9999999999999975E-3</v>
      </c>
      <c r="R20" s="49">
        <f>'+300 seg'!$E$27</f>
        <v>1.4142135623730866E-3</v>
      </c>
      <c r="S20" s="31">
        <f>'+300 seg'!$F$27</f>
        <v>6.5000000000000058E-3</v>
      </c>
      <c r="T20" s="45">
        <f>'+300 seg'!$G$27</f>
        <v>7.0710678118654816E-4</v>
      </c>
      <c r="U20" s="42">
        <f>'+300 seg'!$H$27</f>
        <v>5.0000000000000044E-3</v>
      </c>
      <c r="V20" s="49">
        <f>'+300 seg'!$I$27</f>
        <v>2.8284271247461922E-3</v>
      </c>
      <c r="W20" s="31">
        <f>'+300 seg'!$L$26</f>
        <v>3.4694469519536142E-18</v>
      </c>
      <c r="X20" s="45">
        <f>'+300 seg'!$M$26</f>
        <v>4.242640687119284E-3</v>
      </c>
    </row>
    <row r="21" spans="2:24" x14ac:dyDescent="0.25">
      <c r="B21" s="52">
        <v>326</v>
      </c>
      <c r="C21" s="31">
        <f>'+326 seg'!$B$26</f>
        <v>5.9999999999999915E-3</v>
      </c>
      <c r="D21" s="45">
        <f>'+326 seg'!$C$26</f>
        <v>0</v>
      </c>
      <c r="E21" s="42">
        <f>'+326 seg'!$D$26</f>
        <v>7.0000000000000062E-3</v>
      </c>
      <c r="F21" s="49">
        <f>'+326 seg'!$E$26</f>
        <v>4.2426406871192901E-3</v>
      </c>
      <c r="G21" s="31">
        <f>'+326 seg'!$F$26</f>
        <v>9.0000000000000011E-3</v>
      </c>
      <c r="H21" s="45">
        <f>'+326 seg'!$G$26</f>
        <v>4.2426406871192788E-3</v>
      </c>
      <c r="I21" s="42">
        <f>'+326 seg'!$H$26</f>
        <v>3.0000000000000027E-3</v>
      </c>
      <c r="J21" s="49">
        <f>'+326 seg'!$I$26</f>
        <v>1.4142135623730963E-3</v>
      </c>
      <c r="K21" s="31">
        <f>'+326 seg'!$J$26</f>
        <v>-5.0000000000000044E-4</v>
      </c>
      <c r="L21" s="45">
        <f>'+326 seg'!$K$26</f>
        <v>7.0710678118654816E-4</v>
      </c>
      <c r="M21" s="42"/>
      <c r="N21" s="49"/>
      <c r="O21" s="31">
        <f>'+326 seg'!$B$27</f>
        <v>3.9999999999999897E-3</v>
      </c>
      <c r="P21" s="45">
        <f>'+326 seg'!$C$27</f>
        <v>1.962615573354719E-17</v>
      </c>
      <c r="Q21" s="42">
        <f>'+326 seg'!$D$27</f>
        <v>5.9999999999999984E-3</v>
      </c>
      <c r="R21" s="49">
        <f>'+326 seg'!$E$27</f>
        <v>9.8130778667735948E-18</v>
      </c>
      <c r="S21" s="31">
        <f>'+326 seg'!$F$27</f>
        <v>7.0000000000000062E-3</v>
      </c>
      <c r="T21" s="45">
        <f>'+326 seg'!$G$27</f>
        <v>1.4142135623730963E-3</v>
      </c>
      <c r="U21" s="42">
        <f>'+326 seg'!$H$27</f>
        <v>6.0000000000000053E-3</v>
      </c>
      <c r="V21" s="49">
        <f>'+326 seg'!$I$27</f>
        <v>2.8284271247461957E-3</v>
      </c>
      <c r="W21" s="31">
        <f>'+326 seg'!$L$26</f>
        <v>3.4694469519536142E-18</v>
      </c>
      <c r="X21" s="45">
        <f>'+326 seg'!$M$26</f>
        <v>4.242640687119284E-3</v>
      </c>
    </row>
    <row r="22" spans="2:24" x14ac:dyDescent="0.25">
      <c r="B22" s="52">
        <v>367</v>
      </c>
      <c r="C22" s="31">
        <f>'+367 seg'!$B$26</f>
        <v>5.499999999999991E-3</v>
      </c>
      <c r="D22" s="45">
        <f>'+367 seg'!$C$26</f>
        <v>7.0710678118654816E-4</v>
      </c>
      <c r="E22" s="42">
        <f>'+367 seg'!$D$26</f>
        <v>1.0000000000000009E-2</v>
      </c>
      <c r="F22" s="49">
        <f>'+367 seg'!$E$26</f>
        <v>0</v>
      </c>
      <c r="G22" s="31">
        <f>'+367 seg'!$F$26</f>
        <v>1.0500000000000002E-2</v>
      </c>
      <c r="H22" s="45">
        <f>'+367 seg'!$G$26</f>
        <v>4.9497474683058273E-3</v>
      </c>
      <c r="I22" s="42">
        <f>'+367 seg'!$H$26</f>
        <v>3.0000000000000027E-3</v>
      </c>
      <c r="J22" s="49">
        <f>'+367 seg'!$I$26</f>
        <v>1.4142135623730963E-3</v>
      </c>
      <c r="K22" s="31">
        <f>'+367 seg'!$J$26</f>
        <v>0</v>
      </c>
      <c r="L22" s="45">
        <f>'+367 seg'!$K$26</f>
        <v>0</v>
      </c>
      <c r="M22" s="42"/>
      <c r="N22" s="49"/>
      <c r="O22" s="31">
        <f>'+367 seg'!$B$27</f>
        <v>7.4999999999999928E-3</v>
      </c>
      <c r="P22" s="45">
        <f>'+367 seg'!$C$27</f>
        <v>4.9497474683058576E-3</v>
      </c>
      <c r="Q22" s="42">
        <f>'+367 seg'!$D$27</f>
        <v>5.4999999999999979E-3</v>
      </c>
      <c r="R22" s="49">
        <f>'+367 seg'!$E$27</f>
        <v>2.1213203435596346E-3</v>
      </c>
      <c r="S22" s="31">
        <f>'+367 seg'!$F$27</f>
        <v>7.5000000000000067E-3</v>
      </c>
      <c r="T22" s="45">
        <f>'+367 seg'!$G$27</f>
        <v>7.0710678118654816E-4</v>
      </c>
      <c r="U22" s="42">
        <f>'+367 seg'!$H$27</f>
        <v>6.0000000000000053E-3</v>
      </c>
      <c r="V22" s="49">
        <f>'+367 seg'!$I$27</f>
        <v>2.8284271247461957E-3</v>
      </c>
      <c r="W22" s="31">
        <f>'+367 seg'!$L$26</f>
        <v>3.4694469519536142E-18</v>
      </c>
      <c r="X22" s="45">
        <f>'+367 seg'!$M$26</f>
        <v>4.242640687119284E-3</v>
      </c>
    </row>
    <row r="23" spans="2:24" x14ac:dyDescent="0.25">
      <c r="B23" s="52">
        <v>431</v>
      </c>
      <c r="C23" s="31">
        <f>'+431 seg'!$B$26</f>
        <v>6.4999999999999919E-3</v>
      </c>
      <c r="D23" s="45">
        <f>'+431 seg'!$C$26</f>
        <v>7.0710678118654816E-4</v>
      </c>
      <c r="E23" s="42">
        <f>'+431 seg'!$D$26</f>
        <v>9.5000000000000084E-3</v>
      </c>
      <c r="F23" s="49">
        <f>'+431 seg'!$E$26</f>
        <v>2.1213203435596446E-3</v>
      </c>
      <c r="G23" s="31">
        <f>'+431 seg'!$F$26</f>
        <v>1.1000000000000003E-2</v>
      </c>
      <c r="H23" s="45">
        <f>'+431 seg'!$G$26</f>
        <v>5.6568542494923775E-3</v>
      </c>
      <c r="I23" s="42">
        <f>'+431 seg'!$H$26</f>
        <v>2.5000000000000022E-3</v>
      </c>
      <c r="J23" s="49">
        <f>'+431 seg'!$I$26</f>
        <v>7.0710678118654816E-4</v>
      </c>
      <c r="K23" s="31">
        <f>'+431 seg'!$J$26</f>
        <v>-5.0000000000000044E-4</v>
      </c>
      <c r="L23" s="45">
        <f>'+431 seg'!$K$26</f>
        <v>7.0710678118654816E-4</v>
      </c>
      <c r="M23" s="42"/>
      <c r="N23" s="49"/>
      <c r="O23" s="31">
        <f>'+431 seg'!$B$27</f>
        <v>7.4999999999999928E-3</v>
      </c>
      <c r="P23" s="45">
        <f>'+431 seg'!$C$27</f>
        <v>4.9497474683058576E-3</v>
      </c>
      <c r="Q23" s="42">
        <f>'+431 seg'!$D$27</f>
        <v>5.9999999999999984E-3</v>
      </c>
      <c r="R23" s="49">
        <f>'+431 seg'!$E$27</f>
        <v>1.4142135623730866E-3</v>
      </c>
      <c r="S23" s="31">
        <f>'+431 seg'!$F$27</f>
        <v>8.5000000000000075E-3</v>
      </c>
      <c r="T23" s="45">
        <f>'+431 seg'!$G$27</f>
        <v>7.0710678118654816E-4</v>
      </c>
      <c r="U23" s="42">
        <f>'+431 seg'!$H$27</f>
        <v>6.5000000000000058E-3</v>
      </c>
      <c r="V23" s="49">
        <f>'+431 seg'!$I$27</f>
        <v>3.5355339059327385E-3</v>
      </c>
      <c r="W23" s="31">
        <f>'+431 seg'!$L$26</f>
        <v>3.4694469519536142E-18</v>
      </c>
      <c r="X23" s="45">
        <f>'+431 seg'!$M$26</f>
        <v>4.242640687119284E-3</v>
      </c>
    </row>
    <row r="24" spans="2:24" x14ac:dyDescent="0.25">
      <c r="B24" s="52">
        <v>518</v>
      </c>
      <c r="C24" s="31">
        <f>'+518 seg'!$B$26</f>
        <v>6.9999999999999923E-3</v>
      </c>
      <c r="D24" s="45">
        <f>'+518 seg'!$C$26</f>
        <v>0</v>
      </c>
      <c r="E24" s="42">
        <f>'+518 seg'!$D$26</f>
        <v>9.000000000000008E-3</v>
      </c>
      <c r="F24" s="49">
        <f>'+518 seg'!$E$26</f>
        <v>2.8284271247461927E-3</v>
      </c>
      <c r="G24" s="31">
        <f>'+518 seg'!$F$26</f>
        <v>1.2500000000000004E-2</v>
      </c>
      <c r="H24" s="45">
        <f>'+518 seg'!$G$26</f>
        <v>6.3639610306789199E-3</v>
      </c>
      <c r="I24" s="42">
        <f>'+518 seg'!$H$26</f>
        <v>2.9999999999999957E-3</v>
      </c>
      <c r="J24" s="49">
        <f>'+518 seg'!$I$26</f>
        <v>9.8130778667735948E-18</v>
      </c>
      <c r="K24" s="31">
        <f>'+518 seg'!$J$26</f>
        <v>-5.0000000000000044E-4</v>
      </c>
      <c r="L24" s="45">
        <f>'+518 seg'!$K$26</f>
        <v>7.0710678118654816E-4</v>
      </c>
      <c r="M24" s="42"/>
      <c r="N24" s="49"/>
      <c r="O24" s="31">
        <f>'+518 seg'!$B$27</f>
        <v>5.499999999999991E-3</v>
      </c>
      <c r="P24" s="45">
        <f>'+518 seg'!$C$27</f>
        <v>7.0710678118656779E-4</v>
      </c>
      <c r="Q24" s="42">
        <f>'+518 seg'!$D$27</f>
        <v>1.0499999999999995E-2</v>
      </c>
      <c r="R24" s="49">
        <f>'+518 seg'!$E$27</f>
        <v>3.5355339059327385E-3</v>
      </c>
      <c r="S24" s="31">
        <f>'+518 seg'!$F$27</f>
        <v>1.0000000000000009E-2</v>
      </c>
      <c r="T24" s="45">
        <f>'+518 seg'!$G$27</f>
        <v>1.4142135623730963E-3</v>
      </c>
      <c r="U24" s="42">
        <f>'+518 seg'!$H$27</f>
        <v>6.5000000000000058E-3</v>
      </c>
      <c r="V24" s="49">
        <f>'+518 seg'!$I$27</f>
        <v>3.5355339059327385E-3</v>
      </c>
      <c r="W24" s="31">
        <f>'+518 seg'!$L$26</f>
        <v>5.0000000000000391E-4</v>
      </c>
      <c r="X24" s="45">
        <f>'+518 seg'!$M$26</f>
        <v>4.9497474683058325E-3</v>
      </c>
    </row>
    <row r="25" spans="2:24" x14ac:dyDescent="0.25">
      <c r="B25" s="52">
        <v>549</v>
      </c>
      <c r="C25" s="31">
        <f>'+549 seg'!$B$26</f>
        <v>7.4999999999999928E-3</v>
      </c>
      <c r="D25" s="45">
        <f>'+549 seg'!$C$26</f>
        <v>7.0710678118654816E-4</v>
      </c>
      <c r="E25" s="42">
        <f>'+549 seg'!$D$26</f>
        <v>1.100000000000001E-2</v>
      </c>
      <c r="F25" s="49">
        <f>'+549 seg'!$E$26</f>
        <v>0</v>
      </c>
      <c r="G25" s="31">
        <f>'+549 seg'!$F$26</f>
        <v>1.3500000000000005E-2</v>
      </c>
      <c r="H25" s="45">
        <f>'+549 seg'!$G$26</f>
        <v>6.3639610306789199E-3</v>
      </c>
      <c r="I25" s="42">
        <f>'+549 seg'!$H$26</f>
        <v>2.9999999999999957E-3</v>
      </c>
      <c r="J25" s="49">
        <f>'+549 seg'!$I$26</f>
        <v>9.8130778667735948E-18</v>
      </c>
      <c r="K25" s="31">
        <f>'+549 seg'!$J$26</f>
        <v>-5.0000000000000044E-4</v>
      </c>
      <c r="L25" s="45">
        <f>'+549 seg'!$K$26</f>
        <v>7.0710678118654816E-4</v>
      </c>
      <c r="M25" s="42"/>
      <c r="N25" s="49"/>
      <c r="O25" s="31">
        <f>'+549 seg'!$B$27</f>
        <v>9.4999999999999807E-3</v>
      </c>
      <c r="P25" s="45">
        <f>'+549 seg'!$C$27</f>
        <v>4.9497474683058377E-3</v>
      </c>
      <c r="Q25" s="42">
        <f>'+549 seg'!$D$27</f>
        <v>5.9999999999999984E-3</v>
      </c>
      <c r="R25" s="49">
        <f>'+549 seg'!$E$27</f>
        <v>2.8284271247461814E-3</v>
      </c>
      <c r="S25" s="31">
        <f>'+549 seg'!$F$27</f>
        <v>1.150000000000001E-2</v>
      </c>
      <c r="T25" s="45">
        <f>'+549 seg'!$G$27</f>
        <v>7.0710678118654816E-4</v>
      </c>
      <c r="U25" s="42">
        <f>'+549 seg'!$H$27</f>
        <v>7.0000000000000062E-3</v>
      </c>
      <c r="V25" s="49">
        <f>'+549 seg'!$I$27</f>
        <v>2.8284271247461935E-3</v>
      </c>
      <c r="W25" s="31">
        <f>'+549 seg'!$L$26</f>
        <v>5.0000000000000391E-4</v>
      </c>
      <c r="X25" s="45">
        <f>'+549 seg'!$M$26</f>
        <v>4.9497474683058325E-3</v>
      </c>
    </row>
    <row r="26" spans="2:24" x14ac:dyDescent="0.25">
      <c r="B26" s="52">
        <v>605</v>
      </c>
      <c r="C26" s="31">
        <f>'+605 seg'!$B$26</f>
        <v>8.4999999999999937E-3</v>
      </c>
      <c r="D26" s="45">
        <f>'+605 seg'!$C$26</f>
        <v>7.0710678118654816E-4</v>
      </c>
      <c r="E26" s="42">
        <f>'+605 seg'!$D$26</f>
        <v>7.5000000000000067E-3</v>
      </c>
      <c r="F26" s="49">
        <f>'+605 seg'!$E$26</f>
        <v>4.9497474683058368E-3</v>
      </c>
      <c r="G26" s="31">
        <f>'+605 seg'!$F$26</f>
        <v>1.5000000000000006E-2</v>
      </c>
      <c r="H26" s="45">
        <f>'+605 seg'!$G$26</f>
        <v>5.6568542494923775E-3</v>
      </c>
      <c r="I26" s="42">
        <f>'+605 seg'!$H$26</f>
        <v>2.9999999999999957E-3</v>
      </c>
      <c r="J26" s="49">
        <f>'+605 seg'!$I$26</f>
        <v>9.8130778667735948E-18</v>
      </c>
      <c r="K26" s="31">
        <f>'+605 seg'!$J$26</f>
        <v>0</v>
      </c>
      <c r="L26" s="45">
        <f>'+605 seg'!$K$26</f>
        <v>1.4142135623730963E-3</v>
      </c>
      <c r="M26" s="42"/>
      <c r="N26" s="49"/>
      <c r="O26" s="31">
        <f>'+605 seg'!$B$27</f>
        <v>7.9999999999999932E-3</v>
      </c>
      <c r="P26" s="45">
        <f>'+605 seg'!$C$27</f>
        <v>1.4142135623731161E-3</v>
      </c>
      <c r="Q26" s="42">
        <f>'+605 seg'!$D$27</f>
        <v>5.4999999999999979E-3</v>
      </c>
      <c r="R26" s="49">
        <f>'+605 seg'!$E$27</f>
        <v>3.5355339059327307E-3</v>
      </c>
      <c r="S26" s="31">
        <f>'+605 seg'!$F$27</f>
        <v>1.2000000000000011E-2</v>
      </c>
      <c r="T26" s="45">
        <f>'+605 seg'!$G$27</f>
        <v>1.4142135623730963E-3</v>
      </c>
      <c r="U26" s="42">
        <f>'+605 seg'!$H$27</f>
        <v>7.0000000000000062E-3</v>
      </c>
      <c r="V26" s="49">
        <f>'+605 seg'!$I$27</f>
        <v>2.8284271247461935E-3</v>
      </c>
      <c r="W26" s="31">
        <f>'+605 seg'!$L$26</f>
        <v>5.0000000000000391E-4</v>
      </c>
      <c r="X26" s="45">
        <f>'+605 seg'!$M$26</f>
        <v>4.9497474683058325E-3</v>
      </c>
    </row>
    <row r="27" spans="2:24" ht="15.75" thickBot="1" x14ac:dyDescent="0.3">
      <c r="B27" s="53">
        <v>658</v>
      </c>
      <c r="C27" s="32">
        <f>'+658 seg'!$B$26</f>
        <v>8.9999999999999941E-3</v>
      </c>
      <c r="D27" s="46">
        <f>'+658 seg'!$C$26</f>
        <v>0</v>
      </c>
      <c r="E27" s="43">
        <f>'+658 seg'!$D$26</f>
        <v>1.100000000000001E-2</v>
      </c>
      <c r="F27" s="50">
        <f>'+658 seg'!$E$26</f>
        <v>0</v>
      </c>
      <c r="G27" s="32">
        <f>'+658 seg'!$F$26</f>
        <v>1.6000000000000007E-2</v>
      </c>
      <c r="H27" s="46">
        <f>'+658 seg'!$G$26</f>
        <v>5.6568542494923723E-3</v>
      </c>
      <c r="I27" s="43">
        <f>'+658 seg'!$H$26</f>
        <v>3.4999999999999962E-3</v>
      </c>
      <c r="J27" s="50">
        <f>'+658 seg'!$I$26</f>
        <v>7.0710678118655803E-4</v>
      </c>
      <c r="K27" s="32">
        <f>'+658 seg'!$J$26</f>
        <v>1.5000000000000013E-3</v>
      </c>
      <c r="L27" s="46">
        <f>'+658 seg'!$K$26</f>
        <v>2.1213203435596446E-3</v>
      </c>
      <c r="M27" s="43"/>
      <c r="N27" s="50"/>
      <c r="O27" s="32">
        <f>'+658 seg'!$B$27</f>
        <v>7.9999999999999932E-3</v>
      </c>
      <c r="P27" s="46">
        <f>'+658 seg'!$C$27</f>
        <v>1.4142135623731161E-3</v>
      </c>
      <c r="Q27" s="43">
        <f>'+658 seg'!$D$27</f>
        <v>8.5000000000000006E-3</v>
      </c>
      <c r="R27" s="50">
        <f>'+658 seg'!$E$27</f>
        <v>4.9497474683058273E-3</v>
      </c>
      <c r="S27" s="32">
        <f>'+658 seg'!$F$27</f>
        <v>1.2999999999999998E-2</v>
      </c>
      <c r="T27" s="46">
        <f>'+658 seg'!$G$27</f>
        <v>1.4142135623730768E-3</v>
      </c>
      <c r="U27" s="43">
        <f>'+658 seg'!$H$27</f>
        <v>7.5000000000000067E-3</v>
      </c>
      <c r="V27" s="50">
        <f>'+658 seg'!$I$27</f>
        <v>3.5355339059327403E-3</v>
      </c>
      <c r="W27" s="32">
        <f>'+658 seg'!$L$26</f>
        <v>5.0000000000000391E-4</v>
      </c>
      <c r="X27" s="46">
        <f>'+658 seg'!$M$26</f>
        <v>4.9497474683058325E-3</v>
      </c>
    </row>
    <row r="31" spans="2:24" ht="15.75" thickBot="1" x14ac:dyDescent="0.3"/>
    <row r="32" spans="2:24" ht="15.75" thickBot="1" x14ac:dyDescent="0.3">
      <c r="B32" s="36" t="s">
        <v>78</v>
      </c>
      <c r="C32" s="34" t="s">
        <v>87</v>
      </c>
      <c r="D32" s="35" t="s">
        <v>124</v>
      </c>
      <c r="E32" s="40" t="s">
        <v>88</v>
      </c>
      <c r="F32" s="47" t="s">
        <v>125</v>
      </c>
      <c r="G32" s="34" t="s">
        <v>89</v>
      </c>
      <c r="H32" s="35" t="s">
        <v>126</v>
      </c>
      <c r="I32" s="40" t="s">
        <v>90</v>
      </c>
      <c r="J32" s="47" t="s">
        <v>127</v>
      </c>
      <c r="K32" s="34"/>
      <c r="L32" s="35"/>
      <c r="M32" s="40"/>
      <c r="N32" s="47"/>
      <c r="O32" s="34" t="s">
        <v>91</v>
      </c>
      <c r="P32" s="35" t="s">
        <v>128</v>
      </c>
      <c r="Q32" s="40" t="s">
        <v>92</v>
      </c>
      <c r="R32" s="47" t="s">
        <v>129</v>
      </c>
      <c r="S32" s="34" t="s">
        <v>93</v>
      </c>
      <c r="T32" s="35" t="s">
        <v>130</v>
      </c>
      <c r="U32" s="40" t="s">
        <v>94</v>
      </c>
      <c r="V32" s="47" t="s">
        <v>131</v>
      </c>
      <c r="W32" s="34"/>
      <c r="X32" s="35"/>
    </row>
    <row r="33" spans="2:24" x14ac:dyDescent="0.25">
      <c r="B33" s="37">
        <v>0</v>
      </c>
      <c r="C33" s="33">
        <f>'+0 seg'!$B$28</f>
        <v>0</v>
      </c>
      <c r="D33" s="44">
        <f>'+0 seg'!$C$28</f>
        <v>0</v>
      </c>
      <c r="E33" s="41">
        <f>'+0 seg'!$D$28</f>
        <v>0</v>
      </c>
      <c r="F33" s="48">
        <f>'+0 seg'!$E$28</f>
        <v>0</v>
      </c>
      <c r="G33" s="33">
        <f>'+0 seg'!$F$28</f>
        <v>0</v>
      </c>
      <c r="H33" s="44">
        <f>'+0 seg'!$G$28</f>
        <v>0</v>
      </c>
      <c r="I33" s="41">
        <f>'+0 seg'!$H$28</f>
        <v>0</v>
      </c>
      <c r="J33" s="48">
        <f>'+0 seg'!$I$28</f>
        <v>0</v>
      </c>
      <c r="K33" s="33"/>
      <c r="L33" s="44"/>
      <c r="M33" s="41"/>
      <c r="N33" s="48"/>
      <c r="O33" s="33">
        <f>'+0 seg'!$B$29</f>
        <v>0</v>
      </c>
      <c r="P33" s="44">
        <f>'+0 seg'!$C$29</f>
        <v>0</v>
      </c>
      <c r="Q33" s="41">
        <f>'+0 seg'!$D$29</f>
        <v>0</v>
      </c>
      <c r="R33" s="48">
        <f>'+0 seg'!$E$29</f>
        <v>0</v>
      </c>
      <c r="S33" s="33">
        <f>'+0 seg'!$F$29</f>
        <v>0</v>
      </c>
      <c r="T33" s="44">
        <f>'+0 seg'!$G$29</f>
        <v>0</v>
      </c>
      <c r="U33" s="41">
        <f>'+0 seg'!$H$29</f>
        <v>0</v>
      </c>
      <c r="V33" s="48">
        <f>'+0 seg'!$I$29</f>
        <v>0</v>
      </c>
      <c r="W33" s="33"/>
      <c r="X33" s="44"/>
    </row>
    <row r="34" spans="2:24" x14ac:dyDescent="0.25">
      <c r="B34" s="38">
        <v>23</v>
      </c>
      <c r="C34" s="33">
        <f>'+23 seg'!$B$28</f>
        <v>1.0000000000000009E-3</v>
      </c>
      <c r="D34" s="44">
        <f>'+23 seg'!$C$28</f>
        <v>1.4142135623730963E-3</v>
      </c>
      <c r="E34" s="42">
        <f>'+23 seg'!$D$28</f>
        <v>5.0000000000000044E-4</v>
      </c>
      <c r="F34" s="49">
        <f>'+23 seg'!$E$28</f>
        <v>2.1213203435596446E-3</v>
      </c>
      <c r="G34" s="31">
        <f>'+23 seg'!$F$28</f>
        <v>-1.5000000000000013E-3</v>
      </c>
      <c r="H34" s="45">
        <f>'+23 seg'!$G$28</f>
        <v>2.1213203435596446E-3</v>
      </c>
      <c r="I34" s="42">
        <f>'+23 seg'!$H$28</f>
        <v>-5.0000000000000044E-4</v>
      </c>
      <c r="J34" s="49">
        <f>'+23 seg'!$I$28</f>
        <v>2.1213203435596446E-3</v>
      </c>
      <c r="K34" s="31"/>
      <c r="L34" s="45"/>
      <c r="M34" s="42"/>
      <c r="N34" s="49"/>
      <c r="O34" s="31">
        <f>'+23 seg'!$B$29</f>
        <v>9.9999999999998701E-4</v>
      </c>
      <c r="P34" s="45">
        <f>'+23 seg'!$C$29</f>
        <v>1.962615573354719E-17</v>
      </c>
      <c r="Q34" s="42">
        <f>'+23 seg'!$D$29</f>
        <v>5.0000000000000044E-4</v>
      </c>
      <c r="R34" s="49">
        <f>'+23 seg'!$E$29</f>
        <v>7.0710678118654816E-4</v>
      </c>
      <c r="S34" s="31">
        <f>'+23 seg'!$F$29</f>
        <v>2.4999999999999953E-3</v>
      </c>
      <c r="T34" s="45">
        <f>'+23 seg'!$G$29</f>
        <v>2.1213203435596546E-3</v>
      </c>
      <c r="U34" s="42">
        <f>'+23 seg'!$H$29</f>
        <v>4.9999999999999351E-4</v>
      </c>
      <c r="V34" s="49">
        <f>'+23 seg'!$I$29</f>
        <v>3.5355339059327312E-3</v>
      </c>
      <c r="W34" s="31"/>
      <c r="X34" s="45"/>
    </row>
    <row r="35" spans="2:24" x14ac:dyDescent="0.25">
      <c r="B35" s="38">
        <v>42</v>
      </c>
      <c r="C35" s="31">
        <f>'+42 seg'!$B$28</f>
        <v>1.0000000000000009E-3</v>
      </c>
      <c r="D35" s="45">
        <f>'+42 seg'!$C$28</f>
        <v>1.4142135623730963E-3</v>
      </c>
      <c r="E35" s="42">
        <f>'+42 seg'!$D$28</f>
        <v>1.0000000000000009E-3</v>
      </c>
      <c r="F35" s="49">
        <f>'+42 seg'!$E$28</f>
        <v>1.4142135623730963E-3</v>
      </c>
      <c r="G35" s="31">
        <f>'+42 seg'!$F$28</f>
        <v>-2.0000000000000018E-3</v>
      </c>
      <c r="H35" s="45">
        <f>'+42 seg'!$G$28</f>
        <v>2.8284271247461927E-3</v>
      </c>
      <c r="I35" s="42">
        <f>'+42 seg'!$H$28</f>
        <v>-5.0000000000000044E-4</v>
      </c>
      <c r="J35" s="49">
        <f>'+42 seg'!$I$28</f>
        <v>3.5355339059327407E-3</v>
      </c>
      <c r="K35" s="31"/>
      <c r="L35" s="45"/>
      <c r="M35" s="42"/>
      <c r="N35" s="49"/>
      <c r="O35" s="31">
        <f>'+42 seg'!$B$29</f>
        <v>1.4999999999999875E-3</v>
      </c>
      <c r="P35" s="45">
        <f>'+42 seg'!$C$29</f>
        <v>7.0710678118652854E-4</v>
      </c>
      <c r="Q35" s="42">
        <f>'+42 seg'!$D$29</f>
        <v>5.0000000000000044E-4</v>
      </c>
      <c r="R35" s="49">
        <f>'+42 seg'!$E$29</f>
        <v>7.0710678118654816E-4</v>
      </c>
      <c r="S35" s="31">
        <f>'+42 seg'!$F$29</f>
        <v>2.9999999999999818E-3</v>
      </c>
      <c r="T35" s="45">
        <f>'+42 seg'!$G$29</f>
        <v>2.8284271247461827E-3</v>
      </c>
      <c r="U35" s="42">
        <f>'+42 seg'!$H$29</f>
        <v>5.0000000000000044E-4</v>
      </c>
      <c r="V35" s="49">
        <f>'+42 seg'!$I$29</f>
        <v>2.1213203435596446E-3</v>
      </c>
      <c r="W35" s="31"/>
      <c r="X35" s="45"/>
    </row>
    <row r="36" spans="2:24" x14ac:dyDescent="0.25">
      <c r="B36" s="38">
        <v>61</v>
      </c>
      <c r="C36" s="31">
        <f>'+61 seg'!$B$28</f>
        <v>1.5000000000000013E-3</v>
      </c>
      <c r="D36" s="45">
        <f>'+61 seg'!$C$28</f>
        <v>2.1213203435596446E-3</v>
      </c>
      <c r="E36" s="42">
        <f>'+61 seg'!$D$28</f>
        <v>2.5000000000000022E-3</v>
      </c>
      <c r="F36" s="49">
        <f>'+61 seg'!$E$28</f>
        <v>2.1213203435596446E-3</v>
      </c>
      <c r="G36" s="31">
        <f>'+61 seg'!$F$28</f>
        <v>-2.5000000000000092E-3</v>
      </c>
      <c r="H36" s="45">
        <f>'+61 seg'!$G$28</f>
        <v>4.9497474683058273E-3</v>
      </c>
      <c r="I36" s="42">
        <f>'+61 seg'!$H$28</f>
        <v>-5.0000000000000044E-4</v>
      </c>
      <c r="J36" s="49">
        <f>'+61 seg'!$I$28</f>
        <v>3.5355339059327407E-3</v>
      </c>
      <c r="K36" s="31"/>
      <c r="L36" s="45"/>
      <c r="M36" s="42"/>
      <c r="N36" s="49"/>
      <c r="O36" s="31">
        <f>'+61 seg'!$B$29</f>
        <v>1.9999999999999879E-3</v>
      </c>
      <c r="P36" s="45">
        <f>'+61 seg'!$C$29</f>
        <v>1.962615573354719E-17</v>
      </c>
      <c r="Q36" s="42">
        <f>'+61 seg'!$D$29</f>
        <v>1.0000000000000009E-3</v>
      </c>
      <c r="R36" s="49">
        <f>'+61 seg'!$E$29</f>
        <v>1.4142135623730963E-3</v>
      </c>
      <c r="S36" s="31">
        <f>'+61 seg'!$F$29</f>
        <v>3.9999999999999827E-3</v>
      </c>
      <c r="T36" s="45">
        <f>'+61 seg'!$G$29</f>
        <v>2.8284271247461835E-3</v>
      </c>
      <c r="U36" s="42">
        <f>'+61 seg'!$H$29</f>
        <v>2.0000000000000018E-3</v>
      </c>
      <c r="V36" s="49">
        <f>'+61 seg'!$I$29</f>
        <v>0</v>
      </c>
      <c r="W36" s="31"/>
      <c r="X36" s="45"/>
    </row>
    <row r="37" spans="2:24" x14ac:dyDescent="0.25">
      <c r="B37" s="38">
        <v>81</v>
      </c>
      <c r="C37" s="31">
        <f>'+81 seg'!$B$28</f>
        <v>2.5000000000000022E-3</v>
      </c>
      <c r="D37" s="45">
        <f>'+81 seg'!$C$28</f>
        <v>2.1213203435596446E-3</v>
      </c>
      <c r="E37" s="42">
        <f>'+81 seg'!$D$28</f>
        <v>2.0000000000000018E-3</v>
      </c>
      <c r="F37" s="49">
        <f>'+81 seg'!$E$28</f>
        <v>2.8284271247461927E-3</v>
      </c>
      <c r="G37" s="31">
        <f>'+81 seg'!$F$28</f>
        <v>-3.0000000000000096E-3</v>
      </c>
      <c r="H37" s="45">
        <f>'+81 seg'!$G$28</f>
        <v>5.6568542494923758E-3</v>
      </c>
      <c r="I37" s="42">
        <f>'+81 seg'!$H$28</f>
        <v>-1.0000000000000009E-3</v>
      </c>
      <c r="J37" s="49">
        <f>'+81 seg'!$I$28</f>
        <v>5.6568542494923853E-3</v>
      </c>
      <c r="K37" s="31"/>
      <c r="L37" s="45"/>
      <c r="M37" s="42"/>
      <c r="N37" s="49"/>
      <c r="O37" s="31">
        <f>'+81 seg'!$B$29</f>
        <v>2.4999999999999883E-3</v>
      </c>
      <c r="P37" s="45">
        <f>'+81 seg'!$C$29</f>
        <v>7.0710678118652854E-4</v>
      </c>
      <c r="Q37" s="42">
        <f>'+81 seg'!$D$29</f>
        <v>5.0000000000000044E-4</v>
      </c>
      <c r="R37" s="49">
        <f>'+81 seg'!$E$29</f>
        <v>7.0710678118654816E-4</v>
      </c>
      <c r="S37" s="31">
        <f>'+81 seg'!$F$29</f>
        <v>4.4999999999999832E-3</v>
      </c>
      <c r="T37" s="45">
        <f>'+81 seg'!$G$29</f>
        <v>3.5355339059327307E-3</v>
      </c>
      <c r="U37" s="42">
        <f>'+81 seg'!$H$29</f>
        <v>1.0000000000000009E-3</v>
      </c>
      <c r="V37" s="49">
        <f>'+81 seg'!$I$29</f>
        <v>1.4142135623730963E-3</v>
      </c>
      <c r="W37" s="31"/>
      <c r="X37" s="45"/>
    </row>
    <row r="38" spans="2:24" x14ac:dyDescent="0.25">
      <c r="B38" s="38">
        <v>101</v>
      </c>
      <c r="C38" s="31">
        <f>'+101 seg'!$B$28</f>
        <v>3.0000000000000027E-3</v>
      </c>
      <c r="D38" s="45">
        <f>'+101 seg'!$C$28</f>
        <v>2.8284271247461927E-3</v>
      </c>
      <c r="E38" s="42">
        <f>'+101 seg'!$D$28</f>
        <v>2.0000000000000018E-3</v>
      </c>
      <c r="F38" s="49">
        <f>'+101 seg'!$E$28</f>
        <v>2.8284271247461927E-3</v>
      </c>
      <c r="G38" s="31">
        <f>'+101 seg'!$F$28</f>
        <v>-2.5000000000000092E-3</v>
      </c>
      <c r="H38" s="45">
        <f>'+101 seg'!$G$28</f>
        <v>6.3639610306789234E-3</v>
      </c>
      <c r="I38" s="42">
        <f>'+101 seg'!$H$28</f>
        <v>-1.0000000000000009E-3</v>
      </c>
      <c r="J38" s="49">
        <f>'+101 seg'!$I$28</f>
        <v>5.6568542494923853E-3</v>
      </c>
      <c r="K38" s="31"/>
      <c r="L38" s="45"/>
      <c r="M38" s="42"/>
      <c r="N38" s="49"/>
      <c r="O38" s="31">
        <f>'+101 seg'!$B$29</f>
        <v>3.4999999999999892E-3</v>
      </c>
      <c r="P38" s="45">
        <f>'+101 seg'!$C$29</f>
        <v>7.0710678118656779E-4</v>
      </c>
      <c r="Q38" s="42">
        <f>'+101 seg'!$D$29</f>
        <v>1.0000000000000009E-3</v>
      </c>
      <c r="R38" s="49">
        <f>'+101 seg'!$E$29</f>
        <v>0</v>
      </c>
      <c r="S38" s="31">
        <f>'+101 seg'!$F$29</f>
        <v>5.9999999999999845E-3</v>
      </c>
      <c r="T38" s="45">
        <f>'+101 seg'!$G$29</f>
        <v>4.2426406871192788E-3</v>
      </c>
      <c r="U38" s="42">
        <f>'+101 seg'!$H$29</f>
        <v>1.4999999999999944E-3</v>
      </c>
      <c r="V38" s="49">
        <f>'+101 seg'!$I$29</f>
        <v>2.1213203435596346E-3</v>
      </c>
      <c r="W38" s="31"/>
      <c r="X38" s="45"/>
    </row>
    <row r="39" spans="2:24" x14ac:dyDescent="0.25">
      <c r="B39" s="38">
        <v>120</v>
      </c>
      <c r="C39" s="31">
        <f>'+120 seg'!$B$28</f>
        <v>3.5000000000000031E-3</v>
      </c>
      <c r="D39" s="45">
        <f>'+120 seg'!$C$28</f>
        <v>3.5355339059327407E-3</v>
      </c>
      <c r="E39" s="42">
        <f>'+120 seg'!$D$28</f>
        <v>2.0000000000000018E-3</v>
      </c>
      <c r="F39" s="49">
        <f>'+120 seg'!$E$28</f>
        <v>2.8284271247461927E-3</v>
      </c>
      <c r="G39" s="31">
        <f>'+120 seg'!$F$28</f>
        <v>-2.5000000000000092E-3</v>
      </c>
      <c r="H39" s="45">
        <f>'+120 seg'!$G$28</f>
        <v>6.3639610306789234E-3</v>
      </c>
      <c r="I39" s="42">
        <f>'+120 seg'!$H$28</f>
        <v>-1.5000000000000013E-3</v>
      </c>
      <c r="J39" s="49">
        <f>'+120 seg'!$I$28</f>
        <v>6.3639610306789329E-3</v>
      </c>
      <c r="K39" s="31"/>
      <c r="L39" s="45"/>
      <c r="M39" s="42"/>
      <c r="N39" s="49"/>
      <c r="O39" s="31">
        <f>'+120 seg'!$B$29</f>
        <v>3.9999999999999897E-3</v>
      </c>
      <c r="P39" s="45">
        <f>'+120 seg'!$C$29</f>
        <v>1.962615573354719E-17</v>
      </c>
      <c r="Q39" s="42">
        <f>'+120 seg'!$D$29</f>
        <v>5.0000000000000044E-4</v>
      </c>
      <c r="R39" s="49">
        <f>'+120 seg'!$E$29</f>
        <v>7.0710678118654816E-4</v>
      </c>
      <c r="S39" s="31">
        <f>'+120 seg'!$F$29</f>
        <v>6.499999999999985E-3</v>
      </c>
      <c r="T39" s="45">
        <f>'+120 seg'!$G$29</f>
        <v>4.9497474683058273E-3</v>
      </c>
      <c r="U39" s="42">
        <f>'+120 seg'!$H$29</f>
        <v>1.9999999999999948E-3</v>
      </c>
      <c r="V39" s="49">
        <f>'+120 seg'!$I$29</f>
        <v>2.8284271247461827E-3</v>
      </c>
      <c r="W39" s="31"/>
      <c r="X39" s="45"/>
    </row>
    <row r="40" spans="2:24" x14ac:dyDescent="0.25">
      <c r="B40" s="38">
        <v>140</v>
      </c>
      <c r="C40" s="31">
        <f>'+140 seg'!$B$28</f>
        <v>4.500000000000004E-3</v>
      </c>
      <c r="D40" s="45">
        <f>'+140 seg'!$C$28</f>
        <v>3.5355339059327411E-3</v>
      </c>
      <c r="E40" s="42">
        <f>'+140 seg'!$D$28</f>
        <v>1.5000000000000013E-3</v>
      </c>
      <c r="F40" s="49">
        <f>'+140 seg'!$E$28</f>
        <v>3.5355339059327407E-3</v>
      </c>
      <c r="G40" s="31">
        <f>'+140 seg'!$F$28</f>
        <v>-2.0000000000000087E-3</v>
      </c>
      <c r="H40" s="45">
        <f>'+140 seg'!$G$28</f>
        <v>7.0710678118654719E-3</v>
      </c>
      <c r="I40" s="42">
        <f>'+140 seg'!$H$28</f>
        <v>-5.0000000000000044E-4</v>
      </c>
      <c r="J40" s="49">
        <f>'+140 seg'!$I$28</f>
        <v>7.7781745930520299E-3</v>
      </c>
      <c r="K40" s="31"/>
      <c r="L40" s="45"/>
      <c r="M40" s="42"/>
      <c r="N40" s="49"/>
      <c r="O40" s="31">
        <f>'+140 seg'!$B$29</f>
        <v>5.499999999999991E-3</v>
      </c>
      <c r="P40" s="45">
        <f>'+140 seg'!$C$29</f>
        <v>7.0710678118656779E-4</v>
      </c>
      <c r="Q40" s="42">
        <f>'+140 seg'!$D$29</f>
        <v>5.0000000000000044E-4</v>
      </c>
      <c r="R40" s="49">
        <f>'+140 seg'!$E$29</f>
        <v>7.0710678118654816E-4</v>
      </c>
      <c r="S40" s="31">
        <f>'+140 seg'!$F$29</f>
        <v>6.9999999999999854E-3</v>
      </c>
      <c r="T40" s="45">
        <f>'+140 seg'!$G$29</f>
        <v>5.6568542494923749E-3</v>
      </c>
      <c r="U40" s="42">
        <f>'+140 seg'!$H$29</f>
        <v>1.9999999999999948E-3</v>
      </c>
      <c r="V40" s="49">
        <f>'+140 seg'!$I$29</f>
        <v>1.4142135623730866E-3</v>
      </c>
      <c r="W40" s="31"/>
      <c r="X40" s="45"/>
    </row>
    <row r="41" spans="2:24" x14ac:dyDescent="0.25">
      <c r="B41" s="38">
        <v>158</v>
      </c>
      <c r="C41" s="31">
        <f>'+158 seg'!$B$28</f>
        <v>4.500000000000004E-3</v>
      </c>
      <c r="D41" s="45">
        <f>'+158 seg'!$C$28</f>
        <v>3.5355339059327411E-3</v>
      </c>
      <c r="E41" s="42">
        <f>'+158 seg'!$D$28</f>
        <v>2.0000000000000018E-3</v>
      </c>
      <c r="F41" s="49">
        <f>'+158 seg'!$E$28</f>
        <v>4.2426406871192892E-3</v>
      </c>
      <c r="G41" s="31">
        <f>'+158 seg'!$F$28</f>
        <v>-2.0000000000000087E-3</v>
      </c>
      <c r="H41" s="45">
        <f>'+158 seg'!$G$28</f>
        <v>7.0710678118654719E-3</v>
      </c>
      <c r="I41" s="42">
        <f>'+158 seg'!$H$28</f>
        <v>-5.0000000000000044E-4</v>
      </c>
      <c r="J41" s="49">
        <f>'+158 seg'!$I$28</f>
        <v>7.7781745930520299E-3</v>
      </c>
      <c r="K41" s="31"/>
      <c r="L41" s="45"/>
      <c r="M41" s="42"/>
      <c r="N41" s="49"/>
      <c r="O41" s="31">
        <f>'+158 seg'!$B$29</f>
        <v>5.499999999999991E-3</v>
      </c>
      <c r="P41" s="45">
        <f>'+158 seg'!$C$29</f>
        <v>7.0710678118656779E-4</v>
      </c>
      <c r="Q41" s="42">
        <f>'+158 seg'!$D$29</f>
        <v>1.0000000000000009E-3</v>
      </c>
      <c r="R41" s="49">
        <f>'+158 seg'!$E$29</f>
        <v>0</v>
      </c>
      <c r="S41" s="31">
        <f>'+158 seg'!$F$29</f>
        <v>7.4999999999999858E-3</v>
      </c>
      <c r="T41" s="45">
        <f>'+158 seg'!$G$29</f>
        <v>6.3639610306789234E-3</v>
      </c>
      <c r="U41" s="42">
        <f>'+158 seg'!$H$29</f>
        <v>1.4999999999999944E-3</v>
      </c>
      <c r="V41" s="49">
        <f>'+158 seg'!$I$29</f>
        <v>2.1213203435596346E-3</v>
      </c>
      <c r="W41" s="31"/>
      <c r="X41" s="45"/>
    </row>
    <row r="42" spans="2:24" x14ac:dyDescent="0.25">
      <c r="B42" s="38">
        <v>178</v>
      </c>
      <c r="C42" s="31">
        <f>'+178 seg'!$B$28</f>
        <v>5.0000000000000044E-3</v>
      </c>
      <c r="D42" s="45">
        <f>'+178 seg'!$C$28</f>
        <v>4.2426406871192892E-3</v>
      </c>
      <c r="E42" s="42">
        <f>'+178 seg'!$D$28</f>
        <v>1.5000000000000013E-3</v>
      </c>
      <c r="F42" s="49">
        <f>'+178 seg'!$E$28</f>
        <v>3.5355339059327407E-3</v>
      </c>
      <c r="G42" s="31">
        <f>'+178 seg'!$F$28</f>
        <v>-1.5000000000000083E-3</v>
      </c>
      <c r="H42" s="45">
        <f>'+178 seg'!$G$28</f>
        <v>7.7781745930520204E-3</v>
      </c>
      <c r="I42" s="42">
        <f>'+178 seg'!$H$28</f>
        <v>-1.0000000000000009E-3</v>
      </c>
      <c r="J42" s="49">
        <f>'+178 seg'!$I$28</f>
        <v>8.4852813742385784E-3</v>
      </c>
      <c r="K42" s="31"/>
      <c r="L42" s="45"/>
      <c r="M42" s="42"/>
      <c r="N42" s="49"/>
      <c r="O42" s="31">
        <f>'+178 seg'!$B$29</f>
        <v>7.4999999999999928E-3</v>
      </c>
      <c r="P42" s="45">
        <f>'+178 seg'!$C$29</f>
        <v>2.1213203435596641E-3</v>
      </c>
      <c r="Q42" s="42">
        <f>'+178 seg'!$D$29</f>
        <v>5.0000000000000044E-4</v>
      </c>
      <c r="R42" s="49">
        <f>'+178 seg'!$E$29</f>
        <v>7.0710678118654816E-4</v>
      </c>
      <c r="S42" s="31">
        <f>'+178 seg'!$F$29</f>
        <v>8.9999999999999872E-3</v>
      </c>
      <c r="T42" s="45">
        <f>'+178 seg'!$G$29</f>
        <v>5.6568542494923749E-3</v>
      </c>
      <c r="U42" s="42">
        <f>'+178 seg'!$H$29</f>
        <v>2.9999999999999957E-3</v>
      </c>
      <c r="V42" s="49">
        <f>'+178 seg'!$I$29</f>
        <v>2.8284271247461827E-3</v>
      </c>
      <c r="W42" s="31"/>
      <c r="X42" s="45"/>
    </row>
    <row r="43" spans="2:24" x14ac:dyDescent="0.25">
      <c r="B43" s="38">
        <v>198</v>
      </c>
      <c r="C43" s="31">
        <f>'+198 seg'!$B$28</f>
        <v>5.5000000000000049E-3</v>
      </c>
      <c r="D43" s="45">
        <f>'+198 seg'!$C$28</f>
        <v>4.949747468305836E-3</v>
      </c>
      <c r="E43" s="42">
        <f>'+198 seg'!$D$28</f>
        <v>1.5000000000000013E-3</v>
      </c>
      <c r="F43" s="49">
        <f>'+198 seg'!$E$28</f>
        <v>3.5355339059327407E-3</v>
      </c>
      <c r="G43" s="31">
        <f>'+198 seg'!$F$28</f>
        <v>-1.0000000000000078E-3</v>
      </c>
      <c r="H43" s="45">
        <f>'+198 seg'!$G$28</f>
        <v>7.0710678118654719E-3</v>
      </c>
      <c r="I43" s="42">
        <f>'+198 seg'!$H$28</f>
        <v>-1.0000000000000009E-3</v>
      </c>
      <c r="J43" s="49">
        <f>'+198 seg'!$I$28</f>
        <v>8.4852813742385784E-3</v>
      </c>
      <c r="K43" s="31"/>
      <c r="L43" s="45"/>
      <c r="M43" s="42"/>
      <c r="N43" s="49"/>
      <c r="O43" s="31">
        <f>'+198 seg'!$B$29</f>
        <v>5.9999999999999915E-3</v>
      </c>
      <c r="P43" s="45">
        <f>'+198 seg'!$C$29</f>
        <v>1.962615573354719E-17</v>
      </c>
      <c r="Q43" s="42">
        <f>'+198 seg'!$D$29</f>
        <v>5.0000000000000044E-4</v>
      </c>
      <c r="R43" s="49">
        <f>'+198 seg'!$E$29</f>
        <v>7.0710678118654816E-4</v>
      </c>
      <c r="S43" s="31">
        <f>'+198 seg'!$F$29</f>
        <v>9.4999999999999876E-3</v>
      </c>
      <c r="T43" s="45">
        <f>'+198 seg'!$G$29</f>
        <v>6.3639610306789217E-3</v>
      </c>
      <c r="U43" s="42">
        <f>'+198 seg'!$H$29</f>
        <v>2.4999999999999953E-3</v>
      </c>
      <c r="V43" s="49">
        <f>'+198 seg'!$I$29</f>
        <v>2.1213203435596346E-3</v>
      </c>
      <c r="W43" s="31"/>
      <c r="X43" s="45"/>
    </row>
    <row r="44" spans="2:24" x14ac:dyDescent="0.25">
      <c r="B44" s="38">
        <v>219</v>
      </c>
      <c r="C44" s="31">
        <f>'+219 seg'!$B$28</f>
        <v>5.5000000000000049E-3</v>
      </c>
      <c r="D44" s="45">
        <f>'+219 seg'!$C$28</f>
        <v>4.949747468305836E-3</v>
      </c>
      <c r="E44" s="42">
        <f>'+219 seg'!$D$28</f>
        <v>1.5000000000000013E-3</v>
      </c>
      <c r="F44" s="49">
        <f>'+219 seg'!$E$28</f>
        <v>3.5355339059327407E-3</v>
      </c>
      <c r="G44" s="31">
        <f>'+219 seg'!$F$28</f>
        <v>-5.0000000000000738E-4</v>
      </c>
      <c r="H44" s="45">
        <f>'+219 seg'!$G$28</f>
        <v>7.7781745930520195E-3</v>
      </c>
      <c r="I44" s="42">
        <f>'+219 seg'!$H$28</f>
        <v>0</v>
      </c>
      <c r="J44" s="49">
        <f>'+219 seg'!$I$28</f>
        <v>8.4852813742385784E-3</v>
      </c>
      <c r="K44" s="31"/>
      <c r="L44" s="45"/>
      <c r="M44" s="42"/>
      <c r="N44" s="49"/>
      <c r="O44" s="31">
        <f>'+219 seg'!$B$29</f>
        <v>6.9999999999999923E-3</v>
      </c>
      <c r="P44" s="45">
        <f>'+219 seg'!$C$29</f>
        <v>1.962615573354719E-17</v>
      </c>
      <c r="Q44" s="42">
        <f>'+219 seg'!$D$29</f>
        <v>5.0000000000000044E-4</v>
      </c>
      <c r="R44" s="49">
        <f>'+219 seg'!$E$29</f>
        <v>7.0710678118654816E-4</v>
      </c>
      <c r="S44" s="31">
        <f>'+219 seg'!$F$29</f>
        <v>1.0499999999999989E-2</v>
      </c>
      <c r="T44" s="45">
        <f>'+219 seg'!$G$29</f>
        <v>6.3639610306789243E-3</v>
      </c>
      <c r="U44" s="42">
        <f>'+219 seg'!$H$29</f>
        <v>1.9999999999999948E-3</v>
      </c>
      <c r="V44" s="49">
        <f>'+219 seg'!$I$29</f>
        <v>1.4142135623730866E-3</v>
      </c>
      <c r="W44" s="31"/>
      <c r="X44" s="45"/>
    </row>
    <row r="45" spans="2:24" x14ac:dyDescent="0.25">
      <c r="B45" s="38">
        <v>238</v>
      </c>
      <c r="C45" s="31">
        <f>'+238 seg'!$B$28</f>
        <v>5.5000000000000049E-3</v>
      </c>
      <c r="D45" s="45">
        <f>'+238 seg'!$C$28</f>
        <v>4.949747468305836E-3</v>
      </c>
      <c r="E45" s="42">
        <f>'+238 seg'!$D$28</f>
        <v>2.0000000000000018E-3</v>
      </c>
      <c r="F45" s="49">
        <f>'+238 seg'!$E$28</f>
        <v>4.2426406871192892E-3</v>
      </c>
      <c r="G45" s="31">
        <f>'+238 seg'!$F$28</f>
        <v>-5.0000000000000738E-4</v>
      </c>
      <c r="H45" s="45">
        <f>'+238 seg'!$G$28</f>
        <v>7.7781745930520195E-3</v>
      </c>
      <c r="I45" s="42">
        <f>'+238 seg'!$H$28</f>
        <v>-1.0000000000000009E-3</v>
      </c>
      <c r="J45" s="49">
        <f>'+238 seg'!$I$28</f>
        <v>8.4852813742385784E-3</v>
      </c>
      <c r="K45" s="31"/>
      <c r="L45" s="45"/>
      <c r="M45" s="42"/>
      <c r="N45" s="49"/>
      <c r="O45" s="31">
        <f>'+238 seg'!$B$29</f>
        <v>8.9999999999999941E-3</v>
      </c>
      <c r="P45" s="45">
        <f>'+238 seg'!$C$29</f>
        <v>2.8284271247462122E-3</v>
      </c>
      <c r="Q45" s="42">
        <f>'+238 seg'!$D$29</f>
        <v>5.0000000000000044E-4</v>
      </c>
      <c r="R45" s="49">
        <f>'+238 seg'!$E$29</f>
        <v>7.0710678118654816E-4</v>
      </c>
      <c r="S45" s="31">
        <f>'+238 seg'!$F$29</f>
        <v>1.0999999999999989E-2</v>
      </c>
      <c r="T45" s="45">
        <f>'+238 seg'!$G$29</f>
        <v>7.071067811865471E-3</v>
      </c>
      <c r="U45" s="42">
        <f>'+238 seg'!$H$29</f>
        <v>2.0000000000000018E-3</v>
      </c>
      <c r="V45" s="49">
        <f>'+238 seg'!$I$29</f>
        <v>0</v>
      </c>
      <c r="W45" s="31"/>
      <c r="X45" s="45"/>
    </row>
    <row r="46" spans="2:24" x14ac:dyDescent="0.25">
      <c r="B46" s="38">
        <v>260</v>
      </c>
      <c r="C46" s="31" t="e">
        <f>'[1]+280 seg'!$B$28</f>
        <v>#REF!</v>
      </c>
      <c r="D46" s="45">
        <f>'+260 seg'!$C$28</f>
        <v>5.6568542494923853E-3</v>
      </c>
      <c r="E46" s="42">
        <f>'+260 seg'!$D$28</f>
        <v>2.5000000000000022E-3</v>
      </c>
      <c r="F46" s="49">
        <f>'+260 seg'!$E$28</f>
        <v>3.5355339059327407E-3</v>
      </c>
      <c r="G46" s="31">
        <f>'+260 seg'!$F$28</f>
        <v>-6.9388939039072284E-18</v>
      </c>
      <c r="H46" s="45">
        <f>'+260 seg'!$G$28</f>
        <v>7.0710678118654719E-3</v>
      </c>
      <c r="I46" s="42">
        <f>'+260 seg'!$H$28</f>
        <v>-5.0000000000000044E-4</v>
      </c>
      <c r="J46" s="49">
        <f>'+260 seg'!$I$28</f>
        <v>9.1923881554251251E-3</v>
      </c>
      <c r="K46" s="31"/>
      <c r="L46" s="45"/>
      <c r="M46" s="42"/>
      <c r="N46" s="49"/>
      <c r="O46" s="31">
        <f>'+260 seg'!$B$29</f>
        <v>8.9999999999999941E-3</v>
      </c>
      <c r="P46" s="45">
        <f>'+260 seg'!$C$29</f>
        <v>1.4142135623731161E-3</v>
      </c>
      <c r="Q46" s="42">
        <f>'+260 seg'!$D$29</f>
        <v>1.5000000000000013E-3</v>
      </c>
      <c r="R46" s="49">
        <f>'+260 seg'!$E$29</f>
        <v>7.0710678118654816E-4</v>
      </c>
      <c r="S46" s="31">
        <f>'+260 seg'!$F$29</f>
        <v>1.199999999999999E-2</v>
      </c>
      <c r="T46" s="45">
        <f>'+260 seg'!$G$29</f>
        <v>7.0710678118654693E-3</v>
      </c>
      <c r="U46" s="42">
        <f>'+260 seg'!$H$29</f>
        <v>2.4999999999999953E-3</v>
      </c>
      <c r="V46" s="49">
        <f>'+260 seg'!$I$29</f>
        <v>7.0710678118653841E-4</v>
      </c>
      <c r="W46" s="31"/>
      <c r="X46" s="45"/>
    </row>
    <row r="47" spans="2:24" x14ac:dyDescent="0.25">
      <c r="B47" s="38">
        <v>279</v>
      </c>
      <c r="C47" s="31">
        <f>'+279 seg'!$B$28</f>
        <v>6.5000000000000058E-3</v>
      </c>
      <c r="D47" s="45">
        <f>'+279 seg'!$C$28</f>
        <v>4.9497474683058368E-3</v>
      </c>
      <c r="E47" s="42">
        <f>'+279 seg'!$D$28</f>
        <v>2.0000000000000018E-3</v>
      </c>
      <c r="F47" s="49">
        <f>'+279 seg'!$E$28</f>
        <v>4.2426406871192892E-3</v>
      </c>
      <c r="G47" s="31">
        <f>'+279 seg'!$F$28</f>
        <v>4.9999999999999351E-4</v>
      </c>
      <c r="H47" s="45">
        <f>'+279 seg'!$G$28</f>
        <v>7.7781745930520204E-3</v>
      </c>
      <c r="I47" s="42">
        <f>'+279 seg'!$H$28</f>
        <v>-5.0000000000000044E-4</v>
      </c>
      <c r="J47" s="49">
        <f>'+279 seg'!$I$28</f>
        <v>9.1923881554251251E-3</v>
      </c>
      <c r="K47" s="31"/>
      <c r="L47" s="45"/>
      <c r="M47" s="42"/>
      <c r="N47" s="49"/>
      <c r="O47" s="31">
        <f>'+279 seg'!$B$29</f>
        <v>9.999999999999995E-3</v>
      </c>
      <c r="P47" s="45">
        <f>'+279 seg'!$C$29</f>
        <v>2.8284271247462122E-3</v>
      </c>
      <c r="Q47" s="42">
        <f>'+279 seg'!$D$29</f>
        <v>1.5000000000000013E-3</v>
      </c>
      <c r="R47" s="49">
        <f>'+279 seg'!$E$29</f>
        <v>7.0710678118654816E-4</v>
      </c>
      <c r="S47" s="31">
        <f>'+279 seg'!$F$29</f>
        <v>1.3499999999999991E-2</v>
      </c>
      <c r="T47" s="45">
        <f>'+279 seg'!$G$29</f>
        <v>7.7781745930520195E-3</v>
      </c>
      <c r="U47" s="42">
        <f>'+279 seg'!$H$29</f>
        <v>2.4999999999999953E-3</v>
      </c>
      <c r="V47" s="49">
        <f>'+279 seg'!$I$29</f>
        <v>7.0710678118653841E-4</v>
      </c>
      <c r="W47" s="31"/>
      <c r="X47" s="45"/>
    </row>
    <row r="48" spans="2:24" x14ac:dyDescent="0.25">
      <c r="B48" s="38">
        <v>300</v>
      </c>
      <c r="C48" s="31">
        <f>'+300 seg'!$B$28</f>
        <v>7.0000000000000062E-3</v>
      </c>
      <c r="D48" s="45">
        <f>'+300 seg'!$C$28</f>
        <v>5.6568542494923853E-3</v>
      </c>
      <c r="E48" s="42">
        <f>'+300 seg'!$D$28</f>
        <v>2.5000000000000022E-3</v>
      </c>
      <c r="F48" s="49">
        <f>'+300 seg'!$E$28</f>
        <v>3.5355339059327407E-3</v>
      </c>
      <c r="G48" s="31">
        <f>'+300 seg'!$F$28</f>
        <v>4.9999999999999351E-4</v>
      </c>
      <c r="H48" s="45">
        <f>'+300 seg'!$G$28</f>
        <v>7.7781745930520204E-3</v>
      </c>
      <c r="I48" s="42">
        <f>'+300 seg'!$H$28</f>
        <v>-1.0000000000000009E-3</v>
      </c>
      <c r="J48" s="49">
        <f>'+300 seg'!$I$28</f>
        <v>8.4852813742385784E-3</v>
      </c>
      <c r="K48" s="31"/>
      <c r="L48" s="45"/>
      <c r="M48" s="42"/>
      <c r="N48" s="49"/>
      <c r="O48" s="31">
        <f>'+300 seg'!$B$29</f>
        <v>8.9999999999999941E-3</v>
      </c>
      <c r="P48" s="45">
        <f>'+300 seg'!$C$29</f>
        <v>1.962615573354719E-17</v>
      </c>
      <c r="Q48" s="42">
        <f>'+300 seg'!$D$29</f>
        <v>2.0000000000000018E-3</v>
      </c>
      <c r="R48" s="49">
        <f>'+300 seg'!$E$29</f>
        <v>0</v>
      </c>
      <c r="S48" s="31">
        <f>'+300 seg'!$F$29</f>
        <v>1.3999999999999992E-2</v>
      </c>
      <c r="T48" s="45">
        <f>'+300 seg'!$G$29</f>
        <v>7.0710678118654727E-3</v>
      </c>
      <c r="U48" s="42">
        <f>'+300 seg'!$H$29</f>
        <v>2.4999999999999953E-3</v>
      </c>
      <c r="V48" s="49">
        <f>'+300 seg'!$I$29</f>
        <v>7.0710678118653841E-4</v>
      </c>
      <c r="W48" s="31"/>
      <c r="X48" s="45"/>
    </row>
    <row r="49" spans="2:24" x14ac:dyDescent="0.25">
      <c r="B49" s="38">
        <v>326</v>
      </c>
      <c r="C49" s="31">
        <f>'+326 seg'!$B$28</f>
        <v>7.0000000000000062E-3</v>
      </c>
      <c r="D49" s="45">
        <f>'+326 seg'!$C$28</f>
        <v>5.6568542494923853E-3</v>
      </c>
      <c r="E49" s="42">
        <f>'+326 seg'!$D$28</f>
        <v>2.5000000000000022E-3</v>
      </c>
      <c r="F49" s="49">
        <f>'+326 seg'!$E$28</f>
        <v>3.5355339059327407E-3</v>
      </c>
      <c r="G49" s="31">
        <f>'+326 seg'!$F$28</f>
        <v>9.9999999999999395E-4</v>
      </c>
      <c r="H49" s="45">
        <f>'+326 seg'!$G$28</f>
        <v>8.485281374238568E-3</v>
      </c>
      <c r="I49" s="42">
        <f>'+326 seg'!$H$28</f>
        <v>-1.0000000000000009E-3</v>
      </c>
      <c r="J49" s="49">
        <f>'+326 seg'!$I$28</f>
        <v>8.4852813742385784E-3</v>
      </c>
      <c r="K49" s="31"/>
      <c r="L49" s="45"/>
      <c r="M49" s="42"/>
      <c r="N49" s="49"/>
      <c r="O49" s="31">
        <f>'+326 seg'!$B$29</f>
        <v>9.999999999999995E-3</v>
      </c>
      <c r="P49" s="45">
        <f>'+326 seg'!$C$29</f>
        <v>1.4142135623731161E-3</v>
      </c>
      <c r="Q49" s="42">
        <f>'+326 seg'!$D$29</f>
        <v>2.0000000000000018E-3</v>
      </c>
      <c r="R49" s="49">
        <f>'+326 seg'!$E$29</f>
        <v>0</v>
      </c>
      <c r="S49" s="31">
        <f>'+326 seg'!$F$29</f>
        <v>1.4499999999999992E-2</v>
      </c>
      <c r="T49" s="45">
        <f>'+326 seg'!$G$29</f>
        <v>7.7781745930520195E-3</v>
      </c>
      <c r="U49" s="42">
        <f>'+326 seg'!$H$29</f>
        <v>2.9999999999999957E-3</v>
      </c>
      <c r="V49" s="49">
        <f>'+326 seg'!$I$29</f>
        <v>9.8130778667735948E-18</v>
      </c>
      <c r="W49" s="31"/>
      <c r="X49" s="45"/>
    </row>
    <row r="50" spans="2:24" x14ac:dyDescent="0.25">
      <c r="B50" s="38">
        <v>367</v>
      </c>
      <c r="C50" s="31">
        <f>'+367 seg'!$B$28</f>
        <v>7.5000000000000067E-3</v>
      </c>
      <c r="D50" s="45">
        <f>'+367 seg'!$C$28</f>
        <v>4.9497474683058368E-3</v>
      </c>
      <c r="E50" s="42">
        <f>'+367 seg'!$D$28</f>
        <v>3.4999999999999962E-3</v>
      </c>
      <c r="F50" s="49">
        <f>'+367 seg'!$E$28</f>
        <v>3.5355339059327316E-3</v>
      </c>
      <c r="G50" s="31">
        <f>'+367 seg'!$F$28</f>
        <v>1.4999999999999944E-3</v>
      </c>
      <c r="H50" s="45">
        <f>'+367 seg'!$G$28</f>
        <v>7.7781745930520204E-3</v>
      </c>
      <c r="I50" s="42">
        <f>'+367 seg'!$H$28</f>
        <v>-5.0000000000000044E-4</v>
      </c>
      <c r="J50" s="49">
        <f>'+367 seg'!$I$28</f>
        <v>9.1923881554251251E-3</v>
      </c>
      <c r="K50" s="31"/>
      <c r="L50" s="45"/>
      <c r="M50" s="42"/>
      <c r="N50" s="49"/>
      <c r="O50" s="31">
        <f>'+367 seg'!$B$29</f>
        <v>9.999999999999995E-3</v>
      </c>
      <c r="P50" s="45">
        <f>'+367 seg'!$C$29</f>
        <v>1.962615573354719E-17</v>
      </c>
      <c r="Q50" s="42">
        <f>'+367 seg'!$D$29</f>
        <v>2.0000000000000018E-3</v>
      </c>
      <c r="R50" s="49">
        <f>'+367 seg'!$E$29</f>
        <v>0</v>
      </c>
      <c r="S50" s="31">
        <f>'+367 seg'!$F$29</f>
        <v>1.5999999999999993E-2</v>
      </c>
      <c r="T50" s="45">
        <f>'+367 seg'!$G$29</f>
        <v>8.4852813742385715E-3</v>
      </c>
      <c r="U50" s="42">
        <f>'+367 seg'!$H$29</f>
        <v>2.9999999999999957E-3</v>
      </c>
      <c r="V50" s="49">
        <f>'+367 seg'!$I$29</f>
        <v>9.8130778667735948E-18</v>
      </c>
      <c r="W50" s="31"/>
      <c r="X50" s="45"/>
    </row>
    <row r="51" spans="2:24" x14ac:dyDescent="0.25">
      <c r="B51" s="38">
        <v>431</v>
      </c>
      <c r="C51" s="31">
        <f>'+431 seg'!$B$28</f>
        <v>7.5000000000000067E-3</v>
      </c>
      <c r="D51" s="45">
        <f>'+431 seg'!$C$28</f>
        <v>6.3639610306789312E-3</v>
      </c>
      <c r="E51" s="42">
        <f>'+431 seg'!$D$28</f>
        <v>4.4999999999999971E-3</v>
      </c>
      <c r="F51" s="49">
        <f>'+431 seg'!$E$28</f>
        <v>2.1213203435596346E-3</v>
      </c>
      <c r="G51" s="31">
        <f>'+431 seg'!$F$28</f>
        <v>1.9999999999999948E-3</v>
      </c>
      <c r="H51" s="45">
        <f>'+431 seg'!$G$28</f>
        <v>8.485281374238568E-3</v>
      </c>
      <c r="I51" s="42">
        <f>'+431 seg'!$H$28</f>
        <v>0</v>
      </c>
      <c r="J51" s="49">
        <f>'+431 seg'!$I$28</f>
        <v>9.8994949366116736E-3</v>
      </c>
      <c r="K51" s="31"/>
      <c r="L51" s="45"/>
      <c r="M51" s="42"/>
      <c r="N51" s="49"/>
      <c r="O51" s="31">
        <f>'+431 seg'!$B$29</f>
        <v>1.0999999999999996E-2</v>
      </c>
      <c r="P51" s="45">
        <f>'+431 seg'!$C$29</f>
        <v>1.962615573354719E-17</v>
      </c>
      <c r="Q51" s="42">
        <f>'+431 seg'!$D$29</f>
        <v>2.0000000000000018E-3</v>
      </c>
      <c r="R51" s="49">
        <f>'+431 seg'!$E$29</f>
        <v>0</v>
      </c>
      <c r="S51" s="31">
        <f>'+431 seg'!$F$29</f>
        <v>1.6999999999999994E-2</v>
      </c>
      <c r="T51" s="45">
        <f>'+431 seg'!$G$29</f>
        <v>9.899494936611665E-3</v>
      </c>
      <c r="U51" s="42">
        <f>'+431 seg'!$H$29</f>
        <v>3.4999999999999962E-3</v>
      </c>
      <c r="V51" s="49">
        <f>'+431 seg'!$I$29</f>
        <v>7.0710678118655803E-4</v>
      </c>
      <c r="W51" s="31"/>
      <c r="X51" s="45"/>
    </row>
    <row r="52" spans="2:24" x14ac:dyDescent="0.25">
      <c r="B52" s="38">
        <v>518</v>
      </c>
      <c r="C52" s="31">
        <f>'+518 seg'!$B$28</f>
        <v>9.000000000000008E-3</v>
      </c>
      <c r="D52" s="45">
        <f>'+518 seg'!$C$28</f>
        <v>5.656854249492387E-3</v>
      </c>
      <c r="E52" s="42">
        <f>'+518 seg'!$D$28</f>
        <v>3.9999999999999966E-3</v>
      </c>
      <c r="F52" s="49">
        <f>'+518 seg'!$E$28</f>
        <v>2.8284271247461835E-3</v>
      </c>
      <c r="G52" s="31">
        <f>'+518 seg'!$F$28</f>
        <v>3.4999999999999962E-3</v>
      </c>
      <c r="H52" s="45">
        <f>'+518 seg'!$G$28</f>
        <v>9.1923881554251165E-3</v>
      </c>
      <c r="I52" s="42">
        <f>'+518 seg'!$H$28</f>
        <v>-1.0000000000000009E-3</v>
      </c>
      <c r="J52" s="49">
        <f>'+518 seg'!$I$28</f>
        <v>8.4852813742385784E-3</v>
      </c>
      <c r="K52" s="31"/>
      <c r="L52" s="45"/>
      <c r="M52" s="42"/>
      <c r="N52" s="49"/>
      <c r="O52" s="31">
        <f>'+518 seg'!$B$29</f>
        <v>1.3499999999999998E-2</v>
      </c>
      <c r="P52" s="45">
        <f>'+518 seg'!$C$29</f>
        <v>7.0710678118656779E-4</v>
      </c>
      <c r="Q52" s="42">
        <f>'+518 seg'!$D$29</f>
        <v>2.0000000000000018E-3</v>
      </c>
      <c r="R52" s="49">
        <f>'+518 seg'!$E$29</f>
        <v>0</v>
      </c>
      <c r="S52" s="31">
        <f>'+518 seg'!$F$29</f>
        <v>1.9499999999999997E-2</v>
      </c>
      <c r="T52" s="45">
        <f>'+518 seg'!$G$29</f>
        <v>1.0606601717798217E-2</v>
      </c>
      <c r="U52" s="42">
        <f>'+518 seg'!$H$29</f>
        <v>4.4999999999999971E-3</v>
      </c>
      <c r="V52" s="49">
        <f>'+518 seg'!$I$29</f>
        <v>7.0710678118655803E-4</v>
      </c>
      <c r="W52" s="31"/>
      <c r="X52" s="45"/>
    </row>
    <row r="53" spans="2:24" x14ac:dyDescent="0.25">
      <c r="B53" s="38">
        <v>549</v>
      </c>
      <c r="C53" s="31">
        <f>'+549 seg'!$B$28</f>
        <v>9.000000000000008E-3</v>
      </c>
      <c r="D53" s="45">
        <f>'+549 seg'!$C$28</f>
        <v>5.656854249492387E-3</v>
      </c>
      <c r="E53" s="42">
        <f>'+549 seg'!$D$28</f>
        <v>3.9999999999999966E-3</v>
      </c>
      <c r="F53" s="49">
        <f>'+549 seg'!$E$28</f>
        <v>2.8284271247461835E-3</v>
      </c>
      <c r="G53" s="31">
        <f>'+549 seg'!$F$28</f>
        <v>3.9999999999999966E-3</v>
      </c>
      <c r="H53" s="45">
        <f>'+549 seg'!$G$28</f>
        <v>8.485281374238568E-3</v>
      </c>
      <c r="I53" s="42">
        <f>'+549 seg'!$H$28</f>
        <v>-1.0000000000000009E-3</v>
      </c>
      <c r="J53" s="49">
        <f>'+549 seg'!$I$28</f>
        <v>9.8994949366116736E-3</v>
      </c>
      <c r="K53" s="31"/>
      <c r="L53" s="45"/>
      <c r="M53" s="42"/>
      <c r="N53" s="49"/>
      <c r="O53" s="31">
        <f>'+549 seg'!$B$29</f>
        <v>1.4499999999999999E-2</v>
      </c>
      <c r="P53" s="45">
        <f>'+549 seg'!$C$29</f>
        <v>7.0710678118656779E-4</v>
      </c>
      <c r="Q53" s="42">
        <f>'+549 seg'!$D$29</f>
        <v>3.0000000000000027E-3</v>
      </c>
      <c r="R53" s="49">
        <f>'+549 seg'!$E$29</f>
        <v>0</v>
      </c>
      <c r="S53" s="31">
        <f>'+549 seg'!$F$29</f>
        <v>1.9999999999999997E-2</v>
      </c>
      <c r="T53" s="45">
        <f>'+549 seg'!$G$29</f>
        <v>1.1313708498984764E-2</v>
      </c>
      <c r="U53" s="42">
        <f>'+549 seg'!$H$29</f>
        <v>4.4999999999999971E-3</v>
      </c>
      <c r="V53" s="49">
        <f>'+549 seg'!$I$29</f>
        <v>7.0710678118655803E-4</v>
      </c>
      <c r="W53" s="31"/>
      <c r="X53" s="45"/>
    </row>
    <row r="54" spans="2:24" x14ac:dyDescent="0.25">
      <c r="B54" s="38">
        <v>605</v>
      </c>
      <c r="C54" s="31">
        <f>'+605 seg'!$B$28</f>
        <v>9.5000000000000084E-3</v>
      </c>
      <c r="D54" s="45">
        <f>'+605 seg'!$C$28</f>
        <v>6.3639610306789329E-3</v>
      </c>
      <c r="E54" s="42">
        <f>'+605 seg'!$D$28</f>
        <v>3.9999999999999966E-3</v>
      </c>
      <c r="F54" s="49">
        <f>'+605 seg'!$E$28</f>
        <v>2.8284271247461835E-3</v>
      </c>
      <c r="G54" s="31">
        <f>'+605 seg'!$F$28</f>
        <v>4.4999999999999971E-3</v>
      </c>
      <c r="H54" s="45">
        <f>'+605 seg'!$G$28</f>
        <v>9.1923881554251165E-3</v>
      </c>
      <c r="I54" s="42">
        <f>'+605 seg'!$H$28</f>
        <v>-5.0000000000000044E-4</v>
      </c>
      <c r="J54" s="49">
        <f>'+605 seg'!$I$28</f>
        <v>9.1923881554251251E-3</v>
      </c>
      <c r="K54" s="31"/>
      <c r="L54" s="45"/>
      <c r="M54" s="42"/>
      <c r="N54" s="49"/>
      <c r="O54" s="31">
        <f>'+605 seg'!$B$29</f>
        <v>1.4499999999999999E-2</v>
      </c>
      <c r="P54" s="45">
        <f>'+605 seg'!$C$29</f>
        <v>7.0710678118656779E-4</v>
      </c>
      <c r="Q54" s="42">
        <f>'+605 seg'!$D$29</f>
        <v>3.0000000000000027E-3</v>
      </c>
      <c r="R54" s="49">
        <f>'+605 seg'!$E$29</f>
        <v>0</v>
      </c>
      <c r="S54" s="31">
        <f>'+605 seg'!$F$29</f>
        <v>2.1499999999999998E-2</v>
      </c>
      <c r="T54" s="45">
        <f>'+605 seg'!$G$29</f>
        <v>1.2020815280171307E-2</v>
      </c>
      <c r="U54" s="42">
        <f>'+605 seg'!$H$29</f>
        <v>4.9999999999999975E-3</v>
      </c>
      <c r="V54" s="49">
        <f>'+605 seg'!$I$29</f>
        <v>1.4142135623731061E-3</v>
      </c>
      <c r="W54" s="31"/>
      <c r="X54" s="45"/>
    </row>
    <row r="55" spans="2:24" ht="15.75" thickBot="1" x14ac:dyDescent="0.3">
      <c r="B55" s="39">
        <v>658</v>
      </c>
      <c r="C55" s="32">
        <f>'+658 seg'!$B$28</f>
        <v>1.0000000000000009E-2</v>
      </c>
      <c r="D55" s="46">
        <f>'+658 seg'!$C$28</f>
        <v>5.6568542494923844E-3</v>
      </c>
      <c r="E55" s="43">
        <f>'+658 seg'!$D$28</f>
        <v>4.9999999999999975E-3</v>
      </c>
      <c r="F55" s="50">
        <f>'+658 seg'!$E$28</f>
        <v>1.4142135623730866E-3</v>
      </c>
      <c r="G55" s="32">
        <f>'+658 seg'!$F$28</f>
        <v>5.4999999999999979E-3</v>
      </c>
      <c r="H55" s="46">
        <f>'+658 seg'!$G$28</f>
        <v>9.1923881554251165E-3</v>
      </c>
      <c r="I55" s="43">
        <f>'+658 seg'!$H$28</f>
        <v>-5.0000000000000044E-4</v>
      </c>
      <c r="J55" s="50">
        <f>'+658 seg'!$I$28</f>
        <v>9.1923881554251251E-3</v>
      </c>
      <c r="K55" s="32"/>
      <c r="L55" s="46"/>
      <c r="M55" s="43"/>
      <c r="N55" s="50"/>
      <c r="O55" s="32">
        <f>'+658 seg'!$B$29</f>
        <v>1.7500000000000002E-2</v>
      </c>
      <c r="P55" s="46">
        <f>'+658 seg'!$C$29</f>
        <v>2.1213203435596641E-3</v>
      </c>
      <c r="Q55" s="43">
        <f>'+658 seg'!$D$29</f>
        <v>2.5000000000000022E-3</v>
      </c>
      <c r="R55" s="50">
        <f>'+658 seg'!$E$29</f>
        <v>7.0710678118654816E-4</v>
      </c>
      <c r="S55" s="32">
        <f>'+658 seg'!$F$29</f>
        <v>2.2499999999999999E-2</v>
      </c>
      <c r="T55" s="46">
        <f>'+658 seg'!$G$29</f>
        <v>1.3435028842544399E-2</v>
      </c>
      <c r="U55" s="43">
        <f>'+658 seg'!$H$29</f>
        <v>4.9999999999999975E-3</v>
      </c>
      <c r="V55" s="50">
        <f>'+658 seg'!$I$29</f>
        <v>1.4142135623731061E-3</v>
      </c>
      <c r="W55" s="32"/>
      <c r="X55" s="46"/>
    </row>
    <row r="59" spans="2:24" ht="15.75" thickBot="1" x14ac:dyDescent="0.3"/>
    <row r="60" spans="2:24" ht="15.75" thickBot="1" x14ac:dyDescent="0.3">
      <c r="B60" s="36" t="s">
        <v>78</v>
      </c>
      <c r="C60" s="34" t="s">
        <v>95</v>
      </c>
      <c r="D60" s="35" t="s">
        <v>132</v>
      </c>
      <c r="E60" s="40" t="s">
        <v>96</v>
      </c>
      <c r="F60" s="47" t="s">
        <v>133</v>
      </c>
      <c r="G60" s="34" t="s">
        <v>97</v>
      </c>
      <c r="H60" s="35" t="s">
        <v>134</v>
      </c>
      <c r="I60" s="40" t="s">
        <v>98</v>
      </c>
      <c r="J60" s="47" t="s">
        <v>135</v>
      </c>
      <c r="K60" s="34" t="s">
        <v>148</v>
      </c>
      <c r="L60" s="35" t="s">
        <v>149</v>
      </c>
      <c r="M60" s="40"/>
      <c r="N60" s="47"/>
      <c r="O60" s="34" t="s">
        <v>99</v>
      </c>
      <c r="P60" s="35" t="s">
        <v>136</v>
      </c>
      <c r="Q60" s="40" t="s">
        <v>100</v>
      </c>
      <c r="R60" s="47" t="s">
        <v>137</v>
      </c>
      <c r="S60" s="34" t="s">
        <v>101</v>
      </c>
      <c r="T60" s="35" t="s">
        <v>138</v>
      </c>
      <c r="U60" s="40" t="s">
        <v>102</v>
      </c>
      <c r="V60" s="47" t="s">
        <v>139</v>
      </c>
      <c r="W60" s="34" t="s">
        <v>150</v>
      </c>
      <c r="X60" s="35" t="s">
        <v>151</v>
      </c>
    </row>
    <row r="61" spans="2:24" x14ac:dyDescent="0.25">
      <c r="B61" s="37">
        <v>0</v>
      </c>
      <c r="C61" s="33">
        <f>'+0 seg'!$B$30</f>
        <v>0</v>
      </c>
      <c r="D61" s="44">
        <f>'+0 seg'!$C$30</f>
        <v>0</v>
      </c>
      <c r="E61" s="41">
        <f>'+0 seg'!$D$30</f>
        <v>0</v>
      </c>
      <c r="F61" s="48">
        <f>'+0 seg'!$E$30</f>
        <v>0</v>
      </c>
      <c r="G61" s="33">
        <f>'+0 seg'!$F$30</f>
        <v>0</v>
      </c>
      <c r="H61" s="44">
        <f>'+0 seg'!$G$30</f>
        <v>0</v>
      </c>
      <c r="I61" s="41">
        <f>'+0 seg'!$H$30</f>
        <v>0</v>
      </c>
      <c r="J61" s="48">
        <f>'+0 seg'!$I$30</f>
        <v>0</v>
      </c>
      <c r="K61" s="33">
        <f>'+0 seg'!$J$30</f>
        <v>0</v>
      </c>
      <c r="L61" s="44">
        <f>'+0 seg'!$K$30</f>
        <v>0</v>
      </c>
      <c r="M61" s="41"/>
      <c r="N61" s="48"/>
      <c r="O61" s="33">
        <f>'+0 seg'!$B$31</f>
        <v>0</v>
      </c>
      <c r="P61" s="44">
        <f>'+0 seg'!$C$31</f>
        <v>0</v>
      </c>
      <c r="Q61" s="41">
        <f>'+0 seg'!$D$31</f>
        <v>0</v>
      </c>
      <c r="R61" s="48">
        <f>'+0 seg'!$E$31</f>
        <v>0</v>
      </c>
      <c r="S61" s="33">
        <f>'+0 seg'!$F$31</f>
        <v>0</v>
      </c>
      <c r="T61" s="44">
        <f>'+0 seg'!$G$31</f>
        <v>0</v>
      </c>
      <c r="U61" s="41">
        <f>'+0 seg'!$H$31</f>
        <v>0</v>
      </c>
      <c r="V61" s="48">
        <f>'+0 seg'!$I$31</f>
        <v>0</v>
      </c>
      <c r="W61" s="33">
        <f>'+0 seg'!$L$30</f>
        <v>0</v>
      </c>
      <c r="X61" s="44">
        <f>'+0 seg'!$M$30</f>
        <v>0</v>
      </c>
    </row>
    <row r="62" spans="2:24" x14ac:dyDescent="0.25">
      <c r="B62" s="38">
        <v>23</v>
      </c>
      <c r="C62" s="33">
        <f>'+23 seg'!$B$30</f>
        <v>-5.0000000000000044E-4</v>
      </c>
      <c r="D62" s="44">
        <f>'+23 seg'!$C$30</f>
        <v>3.5355339059327407E-3</v>
      </c>
      <c r="E62" s="42">
        <f>'+23 seg'!$D$30</f>
        <v>5.0000000000000044E-4</v>
      </c>
      <c r="F62" s="49">
        <f>'+23 seg'!$E$30</f>
        <v>7.0710678118654816E-4</v>
      </c>
      <c r="G62" s="31">
        <f>'+23 seg'!$F$30</f>
        <v>1.5000000000000013E-3</v>
      </c>
      <c r="H62" s="45">
        <f>'+23 seg'!$G$30</f>
        <v>7.0710678118654816E-4</v>
      </c>
      <c r="I62" s="42">
        <f>'+23 seg'!$H$30</f>
        <v>-5.0000000000000044E-4</v>
      </c>
      <c r="J62" s="49">
        <f>'+23 seg'!$I$30</f>
        <v>7.0710678118654816E-4</v>
      </c>
      <c r="K62" s="31">
        <f>'+23 seg'!$J$30</f>
        <v>-4.9999999999999697E-4</v>
      </c>
      <c r="L62" s="45">
        <f>'+23 seg'!$K$30</f>
        <v>7.0710678118654328E-4</v>
      </c>
      <c r="M62" s="42"/>
      <c r="N62" s="49"/>
      <c r="O62" s="31">
        <f>'+23 seg'!$B$31</f>
        <v>1.4999999999999944E-3</v>
      </c>
      <c r="P62" s="45">
        <f>'+23 seg'!$C$31</f>
        <v>4.9497474683058273E-3</v>
      </c>
      <c r="Q62" s="42">
        <f>'+23 seg'!$D$31</f>
        <v>-5.0000000000000044E-4</v>
      </c>
      <c r="R62" s="49">
        <f>'+23 seg'!$E$31</f>
        <v>7.0710678118654816E-4</v>
      </c>
      <c r="S62" s="31">
        <f>'+23 seg'!$F$31</f>
        <v>1.0000000000000009E-3</v>
      </c>
      <c r="T62" s="45">
        <f>'+23 seg'!$G$31</f>
        <v>1.4142135623730963E-3</v>
      </c>
      <c r="U62" s="42">
        <f>'+23 seg'!$H$31</f>
        <v>0</v>
      </c>
      <c r="V62" s="49">
        <f>'+23 seg'!$I$31</f>
        <v>0</v>
      </c>
      <c r="W62" s="31">
        <f>'+23 seg'!$L$30</f>
        <v>0</v>
      </c>
      <c r="X62" s="45">
        <f>'+23 seg'!$M$30</f>
        <v>0</v>
      </c>
    </row>
    <row r="63" spans="2:24" x14ac:dyDescent="0.25">
      <c r="B63" s="38">
        <v>42</v>
      </c>
      <c r="C63" s="31">
        <f>'+42 seg'!$B$30</f>
        <v>0</v>
      </c>
      <c r="D63" s="45">
        <f>'+42 seg'!$C$30</f>
        <v>2.8284271247461927E-3</v>
      </c>
      <c r="E63" s="42">
        <f>'+42 seg'!$D$30</f>
        <v>1.0000000000000009E-3</v>
      </c>
      <c r="F63" s="49">
        <f>'+42 seg'!$E$30</f>
        <v>0</v>
      </c>
      <c r="G63" s="31">
        <f>'+42 seg'!$F$30</f>
        <v>2.5000000000000022E-3</v>
      </c>
      <c r="H63" s="45">
        <f>'+42 seg'!$G$30</f>
        <v>7.0710678118654816E-4</v>
      </c>
      <c r="I63" s="42">
        <f>'+42 seg'!$H$30</f>
        <v>5.0000000000000044E-4</v>
      </c>
      <c r="J63" s="49">
        <f>'+42 seg'!$I$30</f>
        <v>3.5355339059327407E-3</v>
      </c>
      <c r="K63" s="31">
        <f>'+42 seg'!$J$30</f>
        <v>-4.9999999999999697E-4</v>
      </c>
      <c r="L63" s="45">
        <f>'+42 seg'!$K$30</f>
        <v>7.0710678118654328E-4</v>
      </c>
      <c r="M63" s="42"/>
      <c r="N63" s="49"/>
      <c r="O63" s="31">
        <f>'+42 seg'!$B$31</f>
        <v>3.4999999999999962E-3</v>
      </c>
      <c r="P63" s="45">
        <f>'+42 seg'!$C$31</f>
        <v>4.9497474683058273E-3</v>
      </c>
      <c r="Q63" s="42">
        <f>'+42 seg'!$D$31</f>
        <v>-5.0000000000000044E-4</v>
      </c>
      <c r="R63" s="49">
        <f>'+42 seg'!$E$31</f>
        <v>7.0710678118654816E-4</v>
      </c>
      <c r="S63" s="31">
        <f>'+42 seg'!$F$31</f>
        <v>1.5000000000000013E-3</v>
      </c>
      <c r="T63" s="45">
        <f>'+42 seg'!$G$31</f>
        <v>7.0710678118654816E-4</v>
      </c>
      <c r="U63" s="42">
        <f>'+42 seg'!$H$31</f>
        <v>5.0000000000000391E-4</v>
      </c>
      <c r="V63" s="49">
        <f>'+42 seg'!$I$31</f>
        <v>2.1213203435596394E-3</v>
      </c>
      <c r="W63" s="31">
        <f>'+42 seg'!$L$30</f>
        <v>-5.0000000000000044E-4</v>
      </c>
      <c r="X63" s="45">
        <f>'+42 seg'!$M$30</f>
        <v>7.0710678118654816E-4</v>
      </c>
    </row>
    <row r="64" spans="2:24" x14ac:dyDescent="0.25">
      <c r="B64" s="38">
        <v>61</v>
      </c>
      <c r="C64" s="31">
        <f>'+61 seg'!$B$30</f>
        <v>-1.0000000000000009E-3</v>
      </c>
      <c r="D64" s="45">
        <f>'+61 seg'!$C$30</f>
        <v>2.8284271247461927E-3</v>
      </c>
      <c r="E64" s="42">
        <f>'+61 seg'!$D$30</f>
        <v>2.0000000000000018E-3</v>
      </c>
      <c r="F64" s="49">
        <f>'+61 seg'!$E$30</f>
        <v>1.4142135623730961E-3</v>
      </c>
      <c r="G64" s="31">
        <f>'+61 seg'!$F$30</f>
        <v>4.500000000000004E-3</v>
      </c>
      <c r="H64" s="45">
        <f>'+61 seg'!$G$30</f>
        <v>7.0710678118654816E-4</v>
      </c>
      <c r="I64" s="42">
        <f>'+61 seg'!$H$30</f>
        <v>0</v>
      </c>
      <c r="J64" s="49">
        <f>'+61 seg'!$I$30</f>
        <v>2.8284271247461927E-3</v>
      </c>
      <c r="K64" s="31">
        <f>'+61 seg'!$J$30</f>
        <v>-4.9999999999999697E-4</v>
      </c>
      <c r="L64" s="45">
        <f>'+61 seg'!$K$30</f>
        <v>7.0710678118654328E-4</v>
      </c>
      <c r="M64" s="42"/>
      <c r="N64" s="49"/>
      <c r="O64" s="31">
        <f>'+61 seg'!$B$31</f>
        <v>2.9999999999999957E-3</v>
      </c>
      <c r="P64" s="45">
        <f>'+61 seg'!$C$31</f>
        <v>4.2426406871192788E-3</v>
      </c>
      <c r="Q64" s="42">
        <f>'+61 seg'!$D$31</f>
        <v>-1.0000000000000009E-3</v>
      </c>
      <c r="R64" s="49">
        <f>'+61 seg'!$E$31</f>
        <v>1.4142135623730963E-3</v>
      </c>
      <c r="S64" s="31">
        <f>'+61 seg'!$F$31</f>
        <v>1.5000000000000013E-3</v>
      </c>
      <c r="T64" s="45">
        <f>'+61 seg'!$G$31</f>
        <v>7.0710678118654816E-4</v>
      </c>
      <c r="U64" s="42">
        <f>'+61 seg'!$H$31</f>
        <v>3.4694469519536142E-18</v>
      </c>
      <c r="V64" s="49">
        <f>'+61 seg'!$I$31</f>
        <v>1.4142135623730913E-3</v>
      </c>
      <c r="W64" s="31">
        <f>'+61 seg'!$L$30</f>
        <v>0</v>
      </c>
      <c r="X64" s="45">
        <f>'+61 seg'!$M$30</f>
        <v>0</v>
      </c>
    </row>
    <row r="65" spans="2:24" x14ac:dyDescent="0.25">
      <c r="B65" s="38">
        <v>81</v>
      </c>
      <c r="C65" s="31">
        <f>'+81 seg'!$B$30</f>
        <v>5.0000000000000044E-4</v>
      </c>
      <c r="D65" s="45">
        <f>'+81 seg'!$C$30</f>
        <v>2.1213203435596446E-3</v>
      </c>
      <c r="E65" s="42">
        <f>'+81 seg'!$D$30</f>
        <v>2.0000000000000018E-3</v>
      </c>
      <c r="F65" s="49">
        <f>'+81 seg'!$E$30</f>
        <v>0</v>
      </c>
      <c r="G65" s="31">
        <f>'+81 seg'!$F$30</f>
        <v>5.0000000000000044E-3</v>
      </c>
      <c r="H65" s="45">
        <f>'+81 seg'!$G$30</f>
        <v>1.4142135623730963E-3</v>
      </c>
      <c r="I65" s="42">
        <f>'+81 seg'!$H$30</f>
        <v>5.0000000000000044E-4</v>
      </c>
      <c r="J65" s="49">
        <f>'+81 seg'!$I$30</f>
        <v>6.3639610306789338E-3</v>
      </c>
      <c r="K65" s="31">
        <f>'+81 seg'!$J$30</f>
        <v>-9.9999999999999742E-4</v>
      </c>
      <c r="L65" s="45">
        <f>'+81 seg'!$K$30</f>
        <v>4.9065389333867974E-18</v>
      </c>
      <c r="M65" s="42"/>
      <c r="N65" s="49"/>
      <c r="O65" s="31">
        <f>'+81 seg'!$B$31</f>
        <v>2.9999999999999957E-3</v>
      </c>
      <c r="P65" s="45">
        <f>'+81 seg'!$C$31</f>
        <v>2.8284271247461827E-3</v>
      </c>
      <c r="Q65" s="42">
        <f>'+81 seg'!$D$31</f>
        <v>-1.0000000000000009E-3</v>
      </c>
      <c r="R65" s="49">
        <f>'+81 seg'!$E$31</f>
        <v>2.8284271247461927E-3</v>
      </c>
      <c r="S65" s="31">
        <f>'+81 seg'!$F$31</f>
        <v>2.0000000000000018E-3</v>
      </c>
      <c r="T65" s="45">
        <f>'+81 seg'!$G$31</f>
        <v>1.4142135623730961E-3</v>
      </c>
      <c r="U65" s="42">
        <f>'+81 seg'!$H$31</f>
        <v>5.0000000000000391E-4</v>
      </c>
      <c r="V65" s="49">
        <f>'+81 seg'!$I$31</f>
        <v>2.1213203435596394E-3</v>
      </c>
      <c r="W65" s="31">
        <f>'+81 seg'!$L$30</f>
        <v>0</v>
      </c>
      <c r="X65" s="45">
        <f>'+81 seg'!$M$30</f>
        <v>0</v>
      </c>
    </row>
    <row r="66" spans="2:24" x14ac:dyDescent="0.25">
      <c r="B66" s="38">
        <v>101</v>
      </c>
      <c r="C66" s="31">
        <f>'+101 seg'!$B$30</f>
        <v>1.0000000000000009E-3</v>
      </c>
      <c r="D66" s="45">
        <f>'+101 seg'!$C$30</f>
        <v>1.4142135623730963E-3</v>
      </c>
      <c r="E66" s="42">
        <f>'+101 seg'!$D$30</f>
        <v>3.0000000000000027E-3</v>
      </c>
      <c r="F66" s="49">
        <f>'+101 seg'!$E$30</f>
        <v>0</v>
      </c>
      <c r="G66" s="31">
        <f>'+101 seg'!$F$30</f>
        <v>6.5000000000000058E-3</v>
      </c>
      <c r="H66" s="45">
        <f>'+101 seg'!$G$30</f>
        <v>2.1213203435596446E-3</v>
      </c>
      <c r="I66" s="42">
        <f>'+101 seg'!$H$30</f>
        <v>2.0000000000000018E-3</v>
      </c>
      <c r="J66" s="49">
        <f>'+101 seg'!$I$30</f>
        <v>7.0710678118654814E-3</v>
      </c>
      <c r="K66" s="31">
        <f>'+101 seg'!$J$30</f>
        <v>-4.9999999999999697E-4</v>
      </c>
      <c r="L66" s="45">
        <f>'+101 seg'!$K$30</f>
        <v>7.0710678118654328E-4</v>
      </c>
      <c r="M66" s="42"/>
      <c r="N66" s="49"/>
      <c r="O66" s="31">
        <f>'+101 seg'!$B$31</f>
        <v>3.4999999999999962E-3</v>
      </c>
      <c r="P66" s="45">
        <f>'+101 seg'!$C$31</f>
        <v>2.1213203435596346E-3</v>
      </c>
      <c r="Q66" s="42">
        <f>'+101 seg'!$D$31</f>
        <v>-1.0000000000000009E-3</v>
      </c>
      <c r="R66" s="49">
        <f>'+101 seg'!$E$31</f>
        <v>2.8284271247461927E-3</v>
      </c>
      <c r="S66" s="31">
        <f>'+101 seg'!$F$31</f>
        <v>3.0000000000000027E-3</v>
      </c>
      <c r="T66" s="45">
        <f>'+101 seg'!$G$31</f>
        <v>1.4142135623730963E-3</v>
      </c>
      <c r="U66" s="42">
        <f>'+101 seg'!$H$31</f>
        <v>1.5000000000000048E-3</v>
      </c>
      <c r="V66" s="49">
        <f>'+101 seg'!$I$31</f>
        <v>3.5355339059327359E-3</v>
      </c>
      <c r="W66" s="31">
        <f>'+101 seg'!$L$30</f>
        <v>-5.0000000000000044E-4</v>
      </c>
      <c r="X66" s="45">
        <f>'+101 seg'!$M$30</f>
        <v>7.0710678118654816E-4</v>
      </c>
    </row>
    <row r="67" spans="2:24" x14ac:dyDescent="0.25">
      <c r="B67" s="38">
        <v>120</v>
      </c>
      <c r="C67" s="31">
        <f>'+120 seg'!$B$30</f>
        <v>1.5000000000000013E-3</v>
      </c>
      <c r="D67" s="45">
        <f>'+120 seg'!$C$30</f>
        <v>7.0710678118654816E-4</v>
      </c>
      <c r="E67" s="42">
        <f>'+120 seg'!$D$30</f>
        <v>3.0000000000000027E-3</v>
      </c>
      <c r="F67" s="49">
        <f>'+120 seg'!$E$30</f>
        <v>0</v>
      </c>
      <c r="G67" s="31">
        <f>'+120 seg'!$F$30</f>
        <v>7.4999999999999997E-3</v>
      </c>
      <c r="H67" s="45">
        <f>'+120 seg'!$G$30</f>
        <v>7.0710678118655803E-4</v>
      </c>
      <c r="I67" s="42">
        <f>'+120 seg'!$H$30</f>
        <v>1.0000000000000009E-3</v>
      </c>
      <c r="J67" s="49">
        <f>'+120 seg'!$I$30</f>
        <v>8.4852813742385784E-3</v>
      </c>
      <c r="K67" s="31">
        <f>'+120 seg'!$J$30</f>
        <v>-9.9999999999999742E-4</v>
      </c>
      <c r="L67" s="45">
        <f>'+120 seg'!$K$30</f>
        <v>4.9065389333867974E-18</v>
      </c>
      <c r="M67" s="42"/>
      <c r="N67" s="49"/>
      <c r="O67" s="31">
        <f>'+120 seg'!$B$31</f>
        <v>3.9999999999999966E-3</v>
      </c>
      <c r="P67" s="45">
        <f>'+120 seg'!$C$31</f>
        <v>1.4142135623730866E-3</v>
      </c>
      <c r="Q67" s="42">
        <f>'+120 seg'!$D$31</f>
        <v>-1.0000000000000009E-3</v>
      </c>
      <c r="R67" s="49">
        <f>'+120 seg'!$E$31</f>
        <v>2.8284271247461927E-3</v>
      </c>
      <c r="S67" s="31">
        <f>'+120 seg'!$F$31</f>
        <v>3.5000000000000031E-3</v>
      </c>
      <c r="T67" s="45">
        <f>'+120 seg'!$G$31</f>
        <v>2.121320343559645E-3</v>
      </c>
      <c r="U67" s="42">
        <f>'+120 seg'!$H$31</f>
        <v>1.0000000000000044E-3</v>
      </c>
      <c r="V67" s="49">
        <f>'+120 seg'!$I$31</f>
        <v>2.8284271247461874E-3</v>
      </c>
      <c r="W67" s="31">
        <f>'+120 seg'!$L$30</f>
        <v>0</v>
      </c>
      <c r="X67" s="45">
        <f>'+120 seg'!$M$30</f>
        <v>0</v>
      </c>
    </row>
    <row r="68" spans="2:24" x14ac:dyDescent="0.25">
      <c r="B68" s="38">
        <v>140</v>
      </c>
      <c r="C68" s="31">
        <f>'+140 seg'!$B$30</f>
        <v>-1.0000000000000009E-3</v>
      </c>
      <c r="D68" s="45">
        <f>'+140 seg'!$C$30</f>
        <v>5.6568542494923853E-3</v>
      </c>
      <c r="E68" s="42">
        <f>'+140 seg'!$D$30</f>
        <v>3.5000000000000031E-3</v>
      </c>
      <c r="F68" s="49">
        <f>'+140 seg'!$E$30</f>
        <v>7.0710678118654816E-4</v>
      </c>
      <c r="G68" s="31">
        <f>'+140 seg'!$F$30</f>
        <v>9.0000000000000011E-3</v>
      </c>
      <c r="H68" s="45">
        <f>'+140 seg'!$G$30</f>
        <v>1.4142135623731061E-3</v>
      </c>
      <c r="I68" s="42">
        <f>'+140 seg'!$H$30</f>
        <v>1.9999999999999948E-3</v>
      </c>
      <c r="J68" s="49">
        <f>'+140 seg'!$I$30</f>
        <v>9.899494936611665E-3</v>
      </c>
      <c r="K68" s="31">
        <f>'+140 seg'!$J$30</f>
        <v>-4.9999999999999697E-4</v>
      </c>
      <c r="L68" s="45">
        <f>'+140 seg'!$K$30</f>
        <v>7.0710678118654328E-4</v>
      </c>
      <c r="M68" s="42"/>
      <c r="N68" s="49"/>
      <c r="O68" s="31">
        <f>'+140 seg'!$B$31</f>
        <v>2.9999999999999957E-3</v>
      </c>
      <c r="P68" s="45">
        <f>'+140 seg'!$C$31</f>
        <v>1.4142135623730866E-3</v>
      </c>
      <c r="Q68" s="42">
        <f>'+140 seg'!$D$31</f>
        <v>0</v>
      </c>
      <c r="R68" s="49">
        <f>'+140 seg'!$E$31</f>
        <v>2.8284271247461927E-3</v>
      </c>
      <c r="S68" s="31">
        <f>'+140 seg'!$F$31</f>
        <v>3.5000000000000031E-3</v>
      </c>
      <c r="T68" s="45">
        <f>'+140 seg'!$G$31</f>
        <v>2.121320343559645E-3</v>
      </c>
      <c r="U68" s="42">
        <f>'+140 seg'!$H$31</f>
        <v>1.0000000000000044E-3</v>
      </c>
      <c r="V68" s="49">
        <f>'+140 seg'!$I$31</f>
        <v>4.242640687119284E-3</v>
      </c>
      <c r="W68" s="31">
        <f>'+140 seg'!$L$30</f>
        <v>0</v>
      </c>
      <c r="X68" s="45">
        <f>'+140 seg'!$M$30</f>
        <v>0</v>
      </c>
    </row>
    <row r="69" spans="2:24" x14ac:dyDescent="0.25">
      <c r="B69" s="38">
        <v>158</v>
      </c>
      <c r="C69" s="31">
        <f>'+158 seg'!$B$30</f>
        <v>-5.0000000000000044E-4</v>
      </c>
      <c r="D69" s="45">
        <f>'+158 seg'!$C$30</f>
        <v>3.5355339059327407E-3</v>
      </c>
      <c r="E69" s="42">
        <f>'+158 seg'!$D$30</f>
        <v>4.0000000000000036E-3</v>
      </c>
      <c r="F69" s="49">
        <f>'+158 seg'!$E$30</f>
        <v>1.4142135623730963E-3</v>
      </c>
      <c r="G69" s="31">
        <f>'+158 seg'!$F$30</f>
        <v>1.0000000000000002E-2</v>
      </c>
      <c r="H69" s="45">
        <f>'+158 seg'!$G$30</f>
        <v>1.4142135623731061E-3</v>
      </c>
      <c r="I69" s="42">
        <f>'+158 seg'!$H$30</f>
        <v>2.4999999999999953E-3</v>
      </c>
      <c r="J69" s="49">
        <f>'+158 seg'!$I$30</f>
        <v>1.2020815280171309E-2</v>
      </c>
      <c r="K69" s="31">
        <f>'+158 seg'!$J$30</f>
        <v>-4.9999999999999697E-4</v>
      </c>
      <c r="L69" s="45">
        <f>'+158 seg'!$K$30</f>
        <v>7.0710678118654328E-4</v>
      </c>
      <c r="M69" s="42"/>
      <c r="N69" s="49"/>
      <c r="O69" s="31">
        <f>'+158 seg'!$B$31</f>
        <v>3.4999999999999962E-3</v>
      </c>
      <c r="P69" s="45">
        <f>'+158 seg'!$C$31</f>
        <v>2.1213203435596346E-3</v>
      </c>
      <c r="Q69" s="42">
        <f>'+158 seg'!$D$31</f>
        <v>0</v>
      </c>
      <c r="R69" s="49">
        <f>'+158 seg'!$E$31</f>
        <v>2.8284271247461927E-3</v>
      </c>
      <c r="S69" s="31">
        <f>'+158 seg'!$F$31</f>
        <v>4.9999999999999975E-3</v>
      </c>
      <c r="T69" s="45">
        <f>'+158 seg'!$G$31</f>
        <v>4.2426406871192788E-3</v>
      </c>
      <c r="U69" s="42">
        <f>'+158 seg'!$H$31</f>
        <v>1.0000000000000044E-3</v>
      </c>
      <c r="V69" s="49">
        <f>'+158 seg'!$I$31</f>
        <v>4.242640687119284E-3</v>
      </c>
      <c r="W69" s="31">
        <f>'+158 seg'!$L$30</f>
        <v>0</v>
      </c>
      <c r="X69" s="45">
        <f>'+158 seg'!$M$30</f>
        <v>0</v>
      </c>
    </row>
    <row r="70" spans="2:24" x14ac:dyDescent="0.25">
      <c r="B70" s="38">
        <v>178</v>
      </c>
      <c r="C70" s="31">
        <f>'+178 seg'!$B$30</f>
        <v>5.0000000000000044E-4</v>
      </c>
      <c r="D70" s="45">
        <f>'+178 seg'!$C$30</f>
        <v>7.0710678118654816E-4</v>
      </c>
      <c r="E70" s="42">
        <f>'+178 seg'!$D$30</f>
        <v>4.500000000000004E-3</v>
      </c>
      <c r="F70" s="49">
        <f>'+178 seg'!$E$30</f>
        <v>2.1213203435596446E-3</v>
      </c>
      <c r="G70" s="31">
        <f>'+178 seg'!$F$30</f>
        <v>1.1000000000000003E-2</v>
      </c>
      <c r="H70" s="45">
        <f>'+178 seg'!$G$30</f>
        <v>1.4142135623731061E-3</v>
      </c>
      <c r="I70" s="42">
        <f>'+178 seg'!$H$30</f>
        <v>2.9999999999999957E-3</v>
      </c>
      <c r="J70" s="49">
        <f>'+178 seg'!$I$30</f>
        <v>1.2727922061357857E-2</v>
      </c>
      <c r="K70" s="31">
        <f>'+178 seg'!$J$30</f>
        <v>-9.9999999999999742E-4</v>
      </c>
      <c r="L70" s="45">
        <f>'+178 seg'!$K$30</f>
        <v>1.4142135623730913E-3</v>
      </c>
      <c r="M70" s="42"/>
      <c r="N70" s="49"/>
      <c r="O70" s="31">
        <f>'+178 seg'!$B$31</f>
        <v>3.9999999999999966E-3</v>
      </c>
      <c r="P70" s="45">
        <f>'+178 seg'!$C$31</f>
        <v>1.4142135623730866E-3</v>
      </c>
      <c r="Q70" s="42">
        <f>'+178 seg'!$D$31</f>
        <v>0</v>
      </c>
      <c r="R70" s="49">
        <f>'+178 seg'!$E$31</f>
        <v>4.2426406871192892E-3</v>
      </c>
      <c r="S70" s="31">
        <f>'+178 seg'!$F$31</f>
        <v>4.4999999999999971E-3</v>
      </c>
      <c r="T70" s="45">
        <f>'+178 seg'!$G$31</f>
        <v>2.1213203435596346E-3</v>
      </c>
      <c r="U70" s="42">
        <f>'+178 seg'!$H$31</f>
        <v>1.0000000000000044E-3</v>
      </c>
      <c r="V70" s="49">
        <f>'+178 seg'!$I$31</f>
        <v>5.656854249492381E-3</v>
      </c>
      <c r="W70" s="31">
        <f>'+178 seg'!$L$30</f>
        <v>5.0000000000000044E-4</v>
      </c>
      <c r="X70" s="45">
        <f>'+178 seg'!$M$30</f>
        <v>7.0710678118654816E-4</v>
      </c>
    </row>
    <row r="71" spans="2:24" x14ac:dyDescent="0.25">
      <c r="B71" s="38">
        <v>198</v>
      </c>
      <c r="C71" s="31">
        <f>'+198 seg'!$B$30</f>
        <v>2.0000000000000018E-3</v>
      </c>
      <c r="D71" s="45">
        <f>'+198 seg'!$C$30</f>
        <v>1.4142135623730961E-3</v>
      </c>
      <c r="E71" s="42">
        <f>'+198 seg'!$D$30</f>
        <v>4.500000000000004E-3</v>
      </c>
      <c r="F71" s="49">
        <f>'+198 seg'!$E$30</f>
        <v>2.1213203435596446E-3</v>
      </c>
      <c r="G71" s="31">
        <f>'+198 seg'!$F$30</f>
        <v>1.2000000000000004E-2</v>
      </c>
      <c r="H71" s="45">
        <f>'+198 seg'!$G$30</f>
        <v>9.8130778667735948E-18</v>
      </c>
      <c r="I71" s="42">
        <f>'+198 seg'!$H$30</f>
        <v>3.4999999999999962E-3</v>
      </c>
      <c r="J71" s="49">
        <f>'+198 seg'!$I$30</f>
        <v>1.3435028842544406E-2</v>
      </c>
      <c r="K71" s="31">
        <f>'+198 seg'!$J$30</f>
        <v>-4.9999999999999697E-4</v>
      </c>
      <c r="L71" s="45">
        <f>'+198 seg'!$K$30</f>
        <v>7.0710678118654328E-4</v>
      </c>
      <c r="M71" s="42"/>
      <c r="N71" s="49"/>
      <c r="O71" s="31">
        <f>'+198 seg'!$B$31</f>
        <v>4.4999999999999971E-3</v>
      </c>
      <c r="P71" s="45">
        <f>'+198 seg'!$C$31</f>
        <v>7.0710678118653841E-4</v>
      </c>
      <c r="Q71" s="42">
        <f>'+198 seg'!$D$31</f>
        <v>0</v>
      </c>
      <c r="R71" s="49">
        <f>'+198 seg'!$E$31</f>
        <v>4.2426406871192892E-3</v>
      </c>
      <c r="S71" s="31">
        <f>'+198 seg'!$F$31</f>
        <v>5.4999999999999979E-3</v>
      </c>
      <c r="T71" s="45">
        <f>'+198 seg'!$G$31</f>
        <v>3.5355339059327307E-3</v>
      </c>
      <c r="U71" s="42">
        <f>'+198 seg'!$H$31</f>
        <v>5.0000000000000391E-4</v>
      </c>
      <c r="V71" s="49">
        <f>'+198 seg'!$I$31</f>
        <v>4.9497474683058325E-3</v>
      </c>
      <c r="W71" s="31">
        <f>'+198 seg'!$L$30</f>
        <v>5.0000000000000044E-4</v>
      </c>
      <c r="X71" s="45">
        <f>'+198 seg'!$M$30</f>
        <v>7.0710678118654816E-4</v>
      </c>
    </row>
    <row r="72" spans="2:24" x14ac:dyDescent="0.25">
      <c r="B72" s="38">
        <v>219</v>
      </c>
      <c r="C72" s="31">
        <f>'+219 seg'!$B$30</f>
        <v>5.0000000000000044E-4</v>
      </c>
      <c r="D72" s="45">
        <f>'+219 seg'!$C$30</f>
        <v>7.0710678118654816E-4</v>
      </c>
      <c r="E72" s="42">
        <f>'+219 seg'!$D$30</f>
        <v>4.500000000000004E-3</v>
      </c>
      <c r="F72" s="49">
        <f>'+219 seg'!$E$30</f>
        <v>2.1213203435596446E-3</v>
      </c>
      <c r="G72" s="31">
        <f>'+219 seg'!$F$30</f>
        <v>1.2000000000000004E-2</v>
      </c>
      <c r="H72" s="45">
        <f>'+219 seg'!$G$30</f>
        <v>1.4142135623731061E-3</v>
      </c>
      <c r="I72" s="42">
        <f>'+219 seg'!$H$30</f>
        <v>3.9999999999999966E-3</v>
      </c>
      <c r="J72" s="49">
        <f>'+219 seg'!$I$30</f>
        <v>1.2727922061357857E-2</v>
      </c>
      <c r="K72" s="31">
        <f>'+219 seg'!$J$30</f>
        <v>-1.4999999999999979E-3</v>
      </c>
      <c r="L72" s="45">
        <f>'+219 seg'!$K$30</f>
        <v>7.0710678118654328E-4</v>
      </c>
      <c r="M72" s="42"/>
      <c r="N72" s="49"/>
      <c r="O72" s="31">
        <f>'+219 seg'!$B$31</f>
        <v>3.9999999999999966E-3</v>
      </c>
      <c r="P72" s="45">
        <f>'+219 seg'!$C$31</f>
        <v>1.4142135623730866E-3</v>
      </c>
      <c r="Q72" s="42">
        <f>'+219 seg'!$D$31</f>
        <v>5.0000000000000044E-4</v>
      </c>
      <c r="R72" s="49">
        <f>'+219 seg'!$E$31</f>
        <v>4.9497474683058368E-3</v>
      </c>
      <c r="S72" s="31">
        <f>'+219 seg'!$F$31</f>
        <v>4.9999999999999975E-3</v>
      </c>
      <c r="T72" s="45">
        <f>'+219 seg'!$G$31</f>
        <v>2.8284271247461827E-3</v>
      </c>
      <c r="U72" s="42">
        <f>'+219 seg'!$H$31</f>
        <v>1.0000000000000044E-3</v>
      </c>
      <c r="V72" s="49">
        <f>'+219 seg'!$I$31</f>
        <v>4.242640687119284E-3</v>
      </c>
      <c r="W72" s="31">
        <f>'+219 seg'!$L$30</f>
        <v>5.0000000000000044E-4</v>
      </c>
      <c r="X72" s="45">
        <f>'+219 seg'!$M$30</f>
        <v>7.0710678118654816E-4</v>
      </c>
    </row>
    <row r="73" spans="2:24" x14ac:dyDescent="0.25">
      <c r="B73" s="38">
        <v>238</v>
      </c>
      <c r="C73" s="31">
        <f>'+238 seg'!$B$30</f>
        <v>5.0000000000000044E-4</v>
      </c>
      <c r="D73" s="45">
        <f>'+238 seg'!$C$30</f>
        <v>7.0710678118654816E-4</v>
      </c>
      <c r="E73" s="42">
        <f>'+238 seg'!$D$30</f>
        <v>4.500000000000004E-3</v>
      </c>
      <c r="F73" s="49">
        <f>'+238 seg'!$E$30</f>
        <v>3.5355339059327411E-3</v>
      </c>
      <c r="G73" s="31">
        <f>'+238 seg'!$F$30</f>
        <v>1.3500000000000005E-2</v>
      </c>
      <c r="H73" s="45">
        <f>'+238 seg'!$G$30</f>
        <v>7.0710678118655803E-4</v>
      </c>
      <c r="I73" s="42">
        <f>'+238 seg'!$H$30</f>
        <v>2.9999999999999957E-3</v>
      </c>
      <c r="J73" s="49">
        <f>'+238 seg'!$I$30</f>
        <v>1.4142135623730952E-2</v>
      </c>
      <c r="K73" s="31">
        <f>'+238 seg'!$J$30</f>
        <v>-9.9999999999999742E-4</v>
      </c>
      <c r="L73" s="45">
        <f>'+238 seg'!$K$30</f>
        <v>1.4142135623730913E-3</v>
      </c>
      <c r="M73" s="42"/>
      <c r="N73" s="49"/>
      <c r="O73" s="31">
        <f>'+238 seg'!$B$31</f>
        <v>4.4999999999999971E-3</v>
      </c>
      <c r="P73" s="45">
        <f>'+238 seg'!$C$31</f>
        <v>2.1213203435596346E-3</v>
      </c>
      <c r="Q73" s="42">
        <f>'+238 seg'!$D$31</f>
        <v>0</v>
      </c>
      <c r="R73" s="49">
        <f>'+238 seg'!$E$31</f>
        <v>5.6568542494923853E-3</v>
      </c>
      <c r="S73" s="31">
        <f>'+238 seg'!$F$31</f>
        <v>6.4999999999999988E-3</v>
      </c>
      <c r="T73" s="45">
        <f>'+238 seg'!$G$31</f>
        <v>3.5355339059327307E-3</v>
      </c>
      <c r="U73" s="42">
        <f>'+238 seg'!$H$31</f>
        <v>5.0000000000000391E-4</v>
      </c>
      <c r="V73" s="49">
        <f>'+238 seg'!$I$31</f>
        <v>4.9497474683058325E-3</v>
      </c>
      <c r="W73" s="31">
        <f>'+238 seg'!$L$30</f>
        <v>5.0000000000000044E-4</v>
      </c>
      <c r="X73" s="45">
        <f>'+238 seg'!$M$30</f>
        <v>7.0710678118654816E-4</v>
      </c>
    </row>
    <row r="74" spans="2:24" x14ac:dyDescent="0.25">
      <c r="B74" s="38">
        <v>260</v>
      </c>
      <c r="C74" s="31">
        <f>'+260 seg'!$B$30</f>
        <v>5.0000000000000044E-4</v>
      </c>
      <c r="D74" s="45">
        <f>'+260 seg'!$C$30</f>
        <v>2.1213203435596446E-3</v>
      </c>
      <c r="E74" s="42">
        <f>'+260 seg'!$D$30</f>
        <v>5.0000000000000044E-3</v>
      </c>
      <c r="F74" s="49">
        <f>'+260 seg'!$E$30</f>
        <v>4.2426406871192892E-3</v>
      </c>
      <c r="G74" s="31">
        <f>'+260 seg'!$F$30</f>
        <v>1.2999999999999998E-2</v>
      </c>
      <c r="H74" s="45">
        <f>'+260 seg'!$G$30</f>
        <v>2.8284271247461927E-3</v>
      </c>
      <c r="I74" s="42">
        <f>'+260 seg'!$H$30</f>
        <v>3.4999999999999962E-3</v>
      </c>
      <c r="J74" s="49">
        <f>'+260 seg'!$I$30</f>
        <v>1.3435028842544406E-2</v>
      </c>
      <c r="K74" s="31">
        <f>'+260 seg'!$J$30</f>
        <v>-4.9999999999999697E-4</v>
      </c>
      <c r="L74" s="45">
        <f>'+260 seg'!$K$30</f>
        <v>2.1213203435596394E-3</v>
      </c>
      <c r="M74" s="42"/>
      <c r="N74" s="49"/>
      <c r="O74" s="31">
        <f>'+260 seg'!$B$31</f>
        <v>4.9999999999999975E-3</v>
      </c>
      <c r="P74" s="45">
        <f>'+260 seg'!$C$31</f>
        <v>1.4142135623730866E-3</v>
      </c>
      <c r="Q74" s="42">
        <f>'+260 seg'!$D$31</f>
        <v>1.0000000000000009E-3</v>
      </c>
      <c r="R74" s="49">
        <f>'+260 seg'!$E$31</f>
        <v>5.6568542494923853E-3</v>
      </c>
      <c r="S74" s="31">
        <f>'+260 seg'!$F$31</f>
        <v>6.4999999999999988E-3</v>
      </c>
      <c r="T74" s="45">
        <f>'+260 seg'!$G$31</f>
        <v>3.5355339059327307E-3</v>
      </c>
      <c r="U74" s="42">
        <f>'+260 seg'!$H$31</f>
        <v>5.0000000000000391E-4</v>
      </c>
      <c r="V74" s="49">
        <f>'+260 seg'!$I$31</f>
        <v>4.9497474683058325E-3</v>
      </c>
      <c r="W74" s="31">
        <f>'+260 seg'!$L$30</f>
        <v>5.0000000000000044E-4</v>
      </c>
      <c r="X74" s="45">
        <f>'+260 seg'!$M$30</f>
        <v>7.0710678118654816E-4</v>
      </c>
    </row>
    <row r="75" spans="2:24" x14ac:dyDescent="0.25">
      <c r="B75" s="38">
        <v>279</v>
      </c>
      <c r="C75" s="31">
        <f>'+279 seg'!$B$30</f>
        <v>-1.0000000000000009E-3</v>
      </c>
      <c r="D75" s="45">
        <f>'+279 seg'!$C$30</f>
        <v>4.2426406871192892E-3</v>
      </c>
      <c r="E75" s="42">
        <f>'+279 seg'!$D$30</f>
        <v>4.500000000000004E-3</v>
      </c>
      <c r="F75" s="49">
        <f>'+279 seg'!$E$30</f>
        <v>3.5355339059327411E-3</v>
      </c>
      <c r="G75" s="31">
        <f>'+279 seg'!$F$30</f>
        <v>1.4499999999999999E-2</v>
      </c>
      <c r="H75" s="45">
        <f>'+279 seg'!$G$30</f>
        <v>2.1213203435596446E-3</v>
      </c>
      <c r="I75" s="42">
        <f>'+279 seg'!$H$30</f>
        <v>3.4999999999999962E-3</v>
      </c>
      <c r="J75" s="49">
        <f>'+279 seg'!$I$30</f>
        <v>1.4849242404917501E-2</v>
      </c>
      <c r="K75" s="31">
        <f>'+279 seg'!$J$30</f>
        <v>-9.9999999999999742E-4</v>
      </c>
      <c r="L75" s="45">
        <f>'+279 seg'!$K$30</f>
        <v>1.4142135623730913E-3</v>
      </c>
      <c r="M75" s="42"/>
      <c r="N75" s="49"/>
      <c r="O75" s="31">
        <f>'+279 seg'!$B$31</f>
        <v>4.9999999999999975E-3</v>
      </c>
      <c r="P75" s="45">
        <f>'+279 seg'!$C$31</f>
        <v>1.4142135623730866E-3</v>
      </c>
      <c r="Q75" s="42">
        <f>'+279 seg'!$D$31</f>
        <v>1.0000000000000009E-3</v>
      </c>
      <c r="R75" s="49">
        <f>'+279 seg'!$E$31</f>
        <v>5.6568542494923853E-3</v>
      </c>
      <c r="S75" s="31">
        <f>'+279 seg'!$F$31</f>
        <v>6.9999999999999993E-3</v>
      </c>
      <c r="T75" s="45">
        <f>'+279 seg'!$G$31</f>
        <v>2.8284271247461835E-3</v>
      </c>
      <c r="U75" s="42">
        <f>'+279 seg'!$H$31</f>
        <v>3.4694469519536142E-18</v>
      </c>
      <c r="V75" s="49">
        <f>'+279 seg'!$I$31</f>
        <v>4.242640687119284E-3</v>
      </c>
      <c r="W75" s="31">
        <f>'+279 seg'!$L$30</f>
        <v>5.0000000000000044E-4</v>
      </c>
      <c r="X75" s="45">
        <f>'+279 seg'!$M$30</f>
        <v>7.0710678118654816E-4</v>
      </c>
    </row>
    <row r="76" spans="2:24" x14ac:dyDescent="0.25">
      <c r="B76" s="38">
        <v>300</v>
      </c>
      <c r="C76" s="31">
        <f>'+300 seg'!$B$30</f>
        <v>5.0000000000000044E-4</v>
      </c>
      <c r="D76" s="45">
        <f>'+300 seg'!$C$30</f>
        <v>2.1213203435596446E-3</v>
      </c>
      <c r="E76" s="42">
        <f>'+300 seg'!$D$30</f>
        <v>7.5000000000000067E-3</v>
      </c>
      <c r="F76" s="49">
        <f>'+300 seg'!$E$30</f>
        <v>3.5355339059327403E-3</v>
      </c>
      <c r="G76" s="31">
        <f>'+300 seg'!$F$30</f>
        <v>1.4499999999999999E-2</v>
      </c>
      <c r="H76" s="45">
        <f>'+300 seg'!$G$30</f>
        <v>3.5355339059327407E-3</v>
      </c>
      <c r="I76" s="42">
        <f>'+300 seg'!$H$30</f>
        <v>3.4999999999999962E-3</v>
      </c>
      <c r="J76" s="49">
        <f>'+300 seg'!$I$30</f>
        <v>1.3435028842544406E-2</v>
      </c>
      <c r="K76" s="31">
        <f>'+300 seg'!$J$30</f>
        <v>-9.9999999999999742E-4</v>
      </c>
      <c r="L76" s="45">
        <f>'+300 seg'!$K$30</f>
        <v>1.4142135623730913E-3</v>
      </c>
      <c r="M76" s="42"/>
      <c r="N76" s="49"/>
      <c r="O76" s="31">
        <f>'+300 seg'!$B$31</f>
        <v>4.9999999999999975E-3</v>
      </c>
      <c r="P76" s="45">
        <f>'+300 seg'!$C$31</f>
        <v>1.4142135623730866E-3</v>
      </c>
      <c r="Q76" s="42">
        <f>'+300 seg'!$D$31</f>
        <v>1.5000000000000013E-3</v>
      </c>
      <c r="R76" s="49">
        <f>'+300 seg'!$E$31</f>
        <v>6.3639610306789329E-3</v>
      </c>
      <c r="S76" s="31">
        <f>'+300 seg'!$F$31</f>
        <v>7.4999999999999997E-3</v>
      </c>
      <c r="T76" s="45">
        <f>'+300 seg'!$G$31</f>
        <v>3.5355339059327307E-3</v>
      </c>
      <c r="U76" s="42">
        <f>'+300 seg'!$H$31</f>
        <v>-4.9999999999999697E-4</v>
      </c>
      <c r="V76" s="49">
        <f>'+300 seg'!$I$31</f>
        <v>3.5355339059327359E-3</v>
      </c>
      <c r="W76" s="31">
        <f>'+300 seg'!$L$30</f>
        <v>1.4999999999999944E-3</v>
      </c>
      <c r="X76" s="45">
        <f>'+300 seg'!$M$30</f>
        <v>7.0710678118653841E-4</v>
      </c>
    </row>
    <row r="77" spans="2:24" x14ac:dyDescent="0.25">
      <c r="B77" s="38">
        <v>326</v>
      </c>
      <c r="C77" s="31">
        <f>'+326 seg'!$B$30</f>
        <v>1.0000000000000009E-3</v>
      </c>
      <c r="D77" s="45">
        <f>'+326 seg'!$C$30</f>
        <v>1.4142135623730963E-3</v>
      </c>
      <c r="E77" s="42">
        <f>'+326 seg'!$D$30</f>
        <v>7.0000000000000062E-3</v>
      </c>
      <c r="F77" s="49">
        <f>'+326 seg'!$E$30</f>
        <v>5.6568542494923853E-3</v>
      </c>
      <c r="G77" s="31">
        <f>'+326 seg'!$F$30</f>
        <v>1.55E-2</v>
      </c>
      <c r="H77" s="45">
        <f>'+326 seg'!$G$30</f>
        <v>2.1213203435596446E-3</v>
      </c>
      <c r="I77" s="42">
        <f>'+326 seg'!$H$30</f>
        <v>2.9999999999999957E-3</v>
      </c>
      <c r="J77" s="49">
        <f>'+326 seg'!$I$30</f>
        <v>1.4142135623730952E-2</v>
      </c>
      <c r="K77" s="31">
        <f>'+326 seg'!$J$30</f>
        <v>-1.4999999999999979E-3</v>
      </c>
      <c r="L77" s="45">
        <f>'+326 seg'!$K$30</f>
        <v>2.1213203435596394E-3</v>
      </c>
      <c r="M77" s="42"/>
      <c r="N77" s="49"/>
      <c r="O77" s="31">
        <f>'+326 seg'!$B$31</f>
        <v>5.9999999999999984E-3</v>
      </c>
      <c r="P77" s="45">
        <f>'+326 seg'!$C$31</f>
        <v>1.4142135623730866E-3</v>
      </c>
      <c r="Q77" s="42">
        <f>'+326 seg'!$D$31</f>
        <v>1.5000000000000013E-3</v>
      </c>
      <c r="R77" s="49">
        <f>'+326 seg'!$E$31</f>
        <v>7.7781745930520299E-3</v>
      </c>
      <c r="S77" s="31">
        <f>'+326 seg'!$F$31</f>
        <v>7.4999999999999997E-3</v>
      </c>
      <c r="T77" s="45">
        <f>'+326 seg'!$G$31</f>
        <v>3.5355339059327307E-3</v>
      </c>
      <c r="U77" s="42">
        <f>'+326 seg'!$H$31</f>
        <v>-1.4999999999999979E-3</v>
      </c>
      <c r="V77" s="49">
        <f>'+326 seg'!$I$31</f>
        <v>3.5355339059327355E-3</v>
      </c>
      <c r="W77" s="31">
        <f>'+326 seg'!$L$30</f>
        <v>1.0000000000000009E-3</v>
      </c>
      <c r="X77" s="45">
        <f>'+326 seg'!$M$30</f>
        <v>0</v>
      </c>
    </row>
    <row r="78" spans="2:24" x14ac:dyDescent="0.25">
      <c r="B78" s="38">
        <v>367</v>
      </c>
      <c r="C78" s="31">
        <f>'+367 seg'!$B$30</f>
        <v>-5.0000000000000044E-4</v>
      </c>
      <c r="D78" s="45">
        <f>'+367 seg'!$C$30</f>
        <v>3.5355339059327407E-3</v>
      </c>
      <c r="E78" s="42">
        <f>'+367 seg'!$D$30</f>
        <v>7.0000000000000062E-3</v>
      </c>
      <c r="F78" s="49">
        <f>'+367 seg'!$E$30</f>
        <v>5.6568542494923853E-3</v>
      </c>
      <c r="G78" s="31">
        <f>'+367 seg'!$F$30</f>
        <v>1.4999999999999999E-2</v>
      </c>
      <c r="H78" s="45">
        <f>'+367 seg'!$G$30</f>
        <v>4.2426406871192857E-3</v>
      </c>
      <c r="I78" s="42">
        <f>'+367 seg'!$H$30</f>
        <v>3.4999999999999962E-3</v>
      </c>
      <c r="J78" s="49">
        <f>'+367 seg'!$I$30</f>
        <v>1.3435028842544406E-2</v>
      </c>
      <c r="K78" s="31">
        <f>'+367 seg'!$J$30</f>
        <v>-9.9999999999999742E-4</v>
      </c>
      <c r="L78" s="45">
        <f>'+367 seg'!$K$30</f>
        <v>1.4142135623730913E-3</v>
      </c>
      <c r="M78" s="42"/>
      <c r="N78" s="49"/>
      <c r="O78" s="31">
        <f>'+367 seg'!$B$31</f>
        <v>5.4999999999999979E-3</v>
      </c>
      <c r="P78" s="45">
        <f>'+367 seg'!$C$31</f>
        <v>2.1213203435596346E-3</v>
      </c>
      <c r="Q78" s="42">
        <f>'+367 seg'!$D$31</f>
        <v>2.5000000000000022E-3</v>
      </c>
      <c r="R78" s="49">
        <f>'+367 seg'!$E$31</f>
        <v>7.7781745930520299E-3</v>
      </c>
      <c r="S78" s="31">
        <f>'+367 seg'!$F$31</f>
        <v>8.5000000000000006E-3</v>
      </c>
      <c r="T78" s="45">
        <f>'+367 seg'!$G$31</f>
        <v>3.5355339059327307E-3</v>
      </c>
      <c r="U78" s="42">
        <f>'+367 seg'!$H$31</f>
        <v>-1.4999999999999979E-3</v>
      </c>
      <c r="V78" s="49">
        <f>'+367 seg'!$I$31</f>
        <v>2.1213203435596394E-3</v>
      </c>
      <c r="W78" s="31">
        <f>'+367 seg'!$L$30</f>
        <v>1.4999999999999944E-3</v>
      </c>
      <c r="X78" s="45">
        <f>'+367 seg'!$M$30</f>
        <v>7.0710678118653841E-4</v>
      </c>
    </row>
    <row r="79" spans="2:24" x14ac:dyDescent="0.25">
      <c r="B79" s="38">
        <v>431</v>
      </c>
      <c r="C79" s="31">
        <f>'+431 seg'!$B$30</f>
        <v>-1.0000000000000009E-3</v>
      </c>
      <c r="D79" s="45">
        <f>'+431 seg'!$C$30</f>
        <v>4.2426406871192892E-3</v>
      </c>
      <c r="E79" s="42">
        <f>'+431 seg'!$D$30</f>
        <v>8.5000000000000075E-3</v>
      </c>
      <c r="F79" s="49">
        <f>'+431 seg'!$E$30</f>
        <v>6.3639610306789347E-3</v>
      </c>
      <c r="G79" s="31">
        <f>'+431 seg'!$F$30</f>
        <v>1.4999999999999999E-2</v>
      </c>
      <c r="H79" s="45">
        <f>'+431 seg'!$G$30</f>
        <v>4.2426406871192857E-3</v>
      </c>
      <c r="I79" s="42">
        <f>'+431 seg'!$H$30</f>
        <v>3.4999999999999962E-3</v>
      </c>
      <c r="J79" s="49">
        <f>'+431 seg'!$I$30</f>
        <v>1.3435028842544406E-2</v>
      </c>
      <c r="K79" s="31">
        <f>'+431 seg'!$J$30</f>
        <v>-1.4999999999999979E-3</v>
      </c>
      <c r="L79" s="45">
        <f>'+431 seg'!$K$30</f>
        <v>7.0710678118654328E-4</v>
      </c>
      <c r="M79" s="42"/>
      <c r="N79" s="49"/>
      <c r="O79" s="31">
        <f>'+431 seg'!$B$31</f>
        <v>5.9999999999999984E-3</v>
      </c>
      <c r="P79" s="45">
        <f>'+431 seg'!$C$31</f>
        <v>2.8284271247461814E-3</v>
      </c>
      <c r="Q79" s="42">
        <f>'+431 seg'!$D$31</f>
        <v>3.0000000000000027E-3</v>
      </c>
      <c r="R79" s="49">
        <f>'+431 seg'!$E$31</f>
        <v>8.4852813742385784E-3</v>
      </c>
      <c r="S79" s="31">
        <f>'+431 seg'!$F$31</f>
        <v>9.4999999999999946E-3</v>
      </c>
      <c r="T79" s="45">
        <f>'+431 seg'!$G$31</f>
        <v>3.5355339059327385E-3</v>
      </c>
      <c r="U79" s="42">
        <f>'+431 seg'!$H$31</f>
        <v>-1.9999999999999983E-3</v>
      </c>
      <c r="V79" s="49">
        <f>'+431 seg'!$I$31</f>
        <v>2.8284271247461874E-3</v>
      </c>
      <c r="W79" s="31">
        <f>'+431 seg'!$L$30</f>
        <v>9.9999999999999395E-4</v>
      </c>
      <c r="X79" s="45">
        <f>'+431 seg'!$M$30</f>
        <v>1.4142135623730866E-3</v>
      </c>
    </row>
    <row r="80" spans="2:24" x14ac:dyDescent="0.25">
      <c r="B80" s="38">
        <v>518</v>
      </c>
      <c r="C80" s="31">
        <f>'+518 seg'!$B$30</f>
        <v>3.0000000000000027E-3</v>
      </c>
      <c r="D80" s="45">
        <f>'+518 seg'!$C$30</f>
        <v>1.4142135623730963E-3</v>
      </c>
      <c r="E80" s="42">
        <f>'+518 seg'!$D$30</f>
        <v>8.5000000000000006E-3</v>
      </c>
      <c r="F80" s="49">
        <f>'+518 seg'!$E$30</f>
        <v>7.7781745930520212E-3</v>
      </c>
      <c r="G80" s="31">
        <f>'+518 seg'!$F$30</f>
        <v>1.6E-2</v>
      </c>
      <c r="H80" s="45">
        <f>'+518 seg'!$G$30</f>
        <v>4.2426406871192987E-3</v>
      </c>
      <c r="I80" s="42">
        <f>'+518 seg'!$H$30</f>
        <v>3.4999999999999962E-3</v>
      </c>
      <c r="J80" s="49">
        <f>'+518 seg'!$I$30</f>
        <v>1.3435028842544406E-2</v>
      </c>
      <c r="K80" s="31">
        <f>'+518 seg'!$J$30</f>
        <v>-9.9999999999999742E-4</v>
      </c>
      <c r="L80" s="45">
        <f>'+518 seg'!$K$30</f>
        <v>1.4142135623730913E-3</v>
      </c>
      <c r="M80" s="42"/>
      <c r="N80" s="49"/>
      <c r="O80" s="31">
        <f>'+518 seg'!$B$31</f>
        <v>6.9999999999999993E-3</v>
      </c>
      <c r="P80" s="45">
        <f>'+518 seg'!$C$31</f>
        <v>2.8284271247461835E-3</v>
      </c>
      <c r="Q80" s="42">
        <f>'+518 seg'!$D$31</f>
        <v>3.0000000000000027E-3</v>
      </c>
      <c r="R80" s="49">
        <f>'+518 seg'!$E$31</f>
        <v>9.8994949366116754E-3</v>
      </c>
      <c r="S80" s="31">
        <f>'+518 seg'!$F$31</f>
        <v>9.999999999999995E-3</v>
      </c>
      <c r="T80" s="45">
        <f>'+518 seg'!$G$31</f>
        <v>2.8284271247461927E-3</v>
      </c>
      <c r="U80" s="42">
        <f>'+518 seg'!$H$31</f>
        <v>-2.4999999999999988E-3</v>
      </c>
      <c r="V80" s="49">
        <f>'+518 seg'!$I$31</f>
        <v>2.1213203435596394E-3</v>
      </c>
      <c r="W80" s="31">
        <f>'+518 seg'!$L$30</f>
        <v>9.9999999999999395E-4</v>
      </c>
      <c r="X80" s="45">
        <f>'+518 seg'!$M$30</f>
        <v>1.4142135623730866E-3</v>
      </c>
    </row>
    <row r="81" spans="2:24" x14ac:dyDescent="0.25">
      <c r="B81" s="38">
        <v>549</v>
      </c>
      <c r="C81" s="31">
        <f>'+549 seg'!$B$30</f>
        <v>3.5000000000000031E-3</v>
      </c>
      <c r="D81" s="45">
        <f>'+549 seg'!$C$30</f>
        <v>7.0710678118654816E-4</v>
      </c>
      <c r="E81" s="42">
        <f>'+549 seg'!$D$30</f>
        <v>9.5000000000000015E-3</v>
      </c>
      <c r="F81" s="49">
        <f>'+549 seg'!$E$30</f>
        <v>6.3639610306789243E-3</v>
      </c>
      <c r="G81" s="31">
        <f>'+549 seg'!$F$30</f>
        <v>1.55E-2</v>
      </c>
      <c r="H81" s="45">
        <f>'+549 seg'!$G$30</f>
        <v>4.9497474683058377E-3</v>
      </c>
      <c r="I81" s="42">
        <f>'+549 seg'!$H$30</f>
        <v>2.9999999999999957E-3</v>
      </c>
      <c r="J81" s="49">
        <f>'+549 seg'!$I$30</f>
        <v>1.2727922061357857E-2</v>
      </c>
      <c r="K81" s="31">
        <f>'+549 seg'!$J$30</f>
        <v>-1.4999999999999979E-3</v>
      </c>
      <c r="L81" s="45">
        <f>'+549 seg'!$K$30</f>
        <v>2.1213203435596394E-3</v>
      </c>
      <c r="M81" s="42"/>
      <c r="N81" s="49"/>
      <c r="O81" s="31">
        <f>'+549 seg'!$B$31</f>
        <v>7.4999999999999997E-3</v>
      </c>
      <c r="P81" s="45">
        <f>'+549 seg'!$C$31</f>
        <v>3.5355339059327307E-3</v>
      </c>
      <c r="Q81" s="42">
        <f>'+549 seg'!$D$31</f>
        <v>3.9999999999999966E-3</v>
      </c>
      <c r="R81" s="49">
        <f>'+549 seg'!$E$31</f>
        <v>9.8994949366116632E-3</v>
      </c>
      <c r="S81" s="31">
        <f>'+549 seg'!$F$31</f>
        <v>1.0999999999999996E-2</v>
      </c>
      <c r="T81" s="45">
        <f>'+549 seg'!$G$31</f>
        <v>2.8284271247461927E-3</v>
      </c>
      <c r="U81" s="42">
        <f>'+549 seg'!$H$31</f>
        <v>-2.9999999999999992E-3</v>
      </c>
      <c r="V81" s="49">
        <f>'+549 seg'!$I$31</f>
        <v>1.4142135623730913E-3</v>
      </c>
      <c r="W81" s="31">
        <f>'+549 seg'!$L$30</f>
        <v>9.9999999999999395E-4</v>
      </c>
      <c r="X81" s="45">
        <f>'+549 seg'!$M$30</f>
        <v>1.4142135623730866E-3</v>
      </c>
    </row>
    <row r="82" spans="2:24" x14ac:dyDescent="0.25">
      <c r="B82" s="38">
        <v>605</v>
      </c>
      <c r="C82" s="31">
        <f>'+605 seg'!$B$30</f>
        <v>2.5000000000000022E-3</v>
      </c>
      <c r="D82" s="45">
        <f>'+605 seg'!$C$30</f>
        <v>2.1213203435596446E-3</v>
      </c>
      <c r="E82" s="42">
        <f>'+605 seg'!$D$30</f>
        <v>9.5000000000000015E-3</v>
      </c>
      <c r="F82" s="49">
        <f>'+605 seg'!$E$30</f>
        <v>6.3639610306789243E-3</v>
      </c>
      <c r="G82" s="31">
        <f>'+605 seg'!$F$30</f>
        <v>1.4999999999999999E-2</v>
      </c>
      <c r="H82" s="45">
        <f>'+605 seg'!$G$30</f>
        <v>4.2426406871192857E-3</v>
      </c>
      <c r="I82" s="42">
        <f>'+605 seg'!$H$30</f>
        <v>2.9999999999999957E-3</v>
      </c>
      <c r="J82" s="49">
        <f>'+605 seg'!$I$30</f>
        <v>1.2727922061357857E-2</v>
      </c>
      <c r="K82" s="31">
        <f>'+605 seg'!$J$30</f>
        <v>-1.4999999999999979E-3</v>
      </c>
      <c r="L82" s="45">
        <f>'+605 seg'!$K$30</f>
        <v>7.0710678118654328E-4</v>
      </c>
      <c r="M82" s="42"/>
      <c r="N82" s="49"/>
      <c r="O82" s="31">
        <f>'+605 seg'!$B$31</f>
        <v>8.5000000000000006E-3</v>
      </c>
      <c r="P82" s="45">
        <f>'+605 seg'!$C$31</f>
        <v>3.5355339059327307E-3</v>
      </c>
      <c r="Q82" s="42">
        <f>'+605 seg'!$D$31</f>
        <v>3.4999999999999962E-3</v>
      </c>
      <c r="R82" s="49">
        <f>'+605 seg'!$E$31</f>
        <v>1.0606601717798213E-2</v>
      </c>
      <c r="S82" s="31">
        <f>'+605 seg'!$F$31</f>
        <v>1.1999999999999997E-2</v>
      </c>
      <c r="T82" s="45">
        <f>'+605 seg'!$G$31</f>
        <v>2.8284271247461927E-3</v>
      </c>
      <c r="U82" s="42">
        <f>'+605 seg'!$H$31</f>
        <v>-2.9999999999999992E-3</v>
      </c>
      <c r="V82" s="49">
        <f>'+605 seg'!$I$31</f>
        <v>1.4142135623730913E-3</v>
      </c>
      <c r="W82" s="31">
        <f>'+605 seg'!$L$30</f>
        <v>9.9999999999999395E-4</v>
      </c>
      <c r="X82" s="45">
        <f>'+605 seg'!$M$30</f>
        <v>1.4142135623730866E-3</v>
      </c>
    </row>
    <row r="83" spans="2:24" ht="15.75" thickBot="1" x14ac:dyDescent="0.3">
      <c r="B83" s="39">
        <v>658</v>
      </c>
      <c r="C83" s="32">
        <f>'+658 seg'!$B$30</f>
        <v>6.0000000000000053E-3</v>
      </c>
      <c r="D83" s="46">
        <f>'+658 seg'!$C$30</f>
        <v>1.4142135623730963E-3</v>
      </c>
      <c r="E83" s="43">
        <f>'+658 seg'!$D$30</f>
        <v>9.5000000000000015E-3</v>
      </c>
      <c r="F83" s="50">
        <f>'+658 seg'!$E$30</f>
        <v>6.3639610306789243E-3</v>
      </c>
      <c r="G83" s="32">
        <f>'+658 seg'!$F$30</f>
        <v>1.4999999999999999E-2</v>
      </c>
      <c r="H83" s="46">
        <f>'+658 seg'!$G$30</f>
        <v>4.2426406871192857E-3</v>
      </c>
      <c r="I83" s="43">
        <f>'+658 seg'!$H$30</f>
        <v>3.4999999999999962E-3</v>
      </c>
      <c r="J83" s="50">
        <f>'+658 seg'!$I$30</f>
        <v>1.3435028842544406E-2</v>
      </c>
      <c r="K83" s="32">
        <f>'+658 seg'!$J$30</f>
        <v>-1.4999999999999979E-3</v>
      </c>
      <c r="L83" s="46">
        <f>'+658 seg'!$K$30</f>
        <v>2.1213203435596394E-3</v>
      </c>
      <c r="M83" s="43"/>
      <c r="N83" s="50"/>
      <c r="O83" s="32">
        <f>'+658 seg'!$B$31</f>
        <v>9.5000000000000015E-3</v>
      </c>
      <c r="P83" s="46">
        <f>'+658 seg'!$C$31</f>
        <v>2.1213203435596346E-3</v>
      </c>
      <c r="Q83" s="43">
        <f>'+658 seg'!$D$31</f>
        <v>3.9999999999999966E-3</v>
      </c>
      <c r="R83" s="50">
        <f>'+658 seg'!$E$31</f>
        <v>9.8994949366116632E-3</v>
      </c>
      <c r="S83" s="32">
        <f>'+658 seg'!$F$31</f>
        <v>1.1999999999999997E-2</v>
      </c>
      <c r="T83" s="46">
        <f>'+658 seg'!$G$31</f>
        <v>1.4142135623730963E-3</v>
      </c>
      <c r="U83" s="43">
        <f>'+658 seg'!$H$31</f>
        <v>-2.9999999999999992E-3</v>
      </c>
      <c r="V83" s="50">
        <f>'+658 seg'!$I$31</f>
        <v>1.4142135623730913E-3</v>
      </c>
      <c r="W83" s="32">
        <f>'+658 seg'!$L$30</f>
        <v>1.4999999999999944E-3</v>
      </c>
      <c r="X83" s="46">
        <f>'+658 seg'!$M$30</f>
        <v>2.1213203435596346E-3</v>
      </c>
    </row>
    <row r="86" spans="2:24" ht="15.75" thickBot="1" x14ac:dyDescent="0.3"/>
    <row r="87" spans="2:24" ht="15.75" thickBot="1" x14ac:dyDescent="0.3">
      <c r="B87" s="36" t="s">
        <v>78</v>
      </c>
      <c r="C87" s="34" t="s">
        <v>103</v>
      </c>
      <c r="D87" s="35" t="s">
        <v>140</v>
      </c>
      <c r="E87" s="40" t="s">
        <v>104</v>
      </c>
      <c r="F87" s="47" t="s">
        <v>141</v>
      </c>
      <c r="G87" s="34" t="s">
        <v>105</v>
      </c>
      <c r="H87" s="35" t="s">
        <v>142</v>
      </c>
      <c r="I87" s="40" t="s">
        <v>106</v>
      </c>
      <c r="J87" s="47" t="s">
        <v>143</v>
      </c>
      <c r="K87" s="34"/>
      <c r="L87" s="35"/>
      <c r="M87" s="40"/>
      <c r="N87" s="47"/>
      <c r="O87" s="34" t="s">
        <v>107</v>
      </c>
      <c r="P87" s="35" t="s">
        <v>144</v>
      </c>
      <c r="Q87" s="40" t="s">
        <v>108</v>
      </c>
      <c r="R87" s="47" t="s">
        <v>145</v>
      </c>
      <c r="S87" s="34" t="s">
        <v>109</v>
      </c>
      <c r="T87" s="35" t="s">
        <v>146</v>
      </c>
      <c r="U87" s="40" t="s">
        <v>110</v>
      </c>
      <c r="V87" s="47" t="s">
        <v>147</v>
      </c>
      <c r="W87" s="34"/>
      <c r="X87" s="35"/>
    </row>
    <row r="88" spans="2:24" x14ac:dyDescent="0.25">
      <c r="B88" s="37">
        <v>0</v>
      </c>
      <c r="C88" s="33">
        <f>'+0 seg'!$B$32</f>
        <v>0</v>
      </c>
      <c r="D88" s="44">
        <f>'+0 seg'!$C$32</f>
        <v>0</v>
      </c>
      <c r="E88" s="41">
        <f>'+0 seg'!$D$32</f>
        <v>0</v>
      </c>
      <c r="F88" s="48">
        <f>'+0 seg'!$E$32</f>
        <v>0</v>
      </c>
      <c r="G88" s="33">
        <f>'+0 seg'!$F$32</f>
        <v>0</v>
      </c>
      <c r="H88" s="44">
        <f>'+0 seg'!$G$32</f>
        <v>0</v>
      </c>
      <c r="I88" s="41">
        <f>'+0 seg'!$H$32</f>
        <v>0</v>
      </c>
      <c r="J88" s="48">
        <f>'+0 seg'!$I$32</f>
        <v>0</v>
      </c>
      <c r="K88" s="33"/>
      <c r="L88" s="44"/>
      <c r="M88" s="41"/>
      <c r="N88" s="48"/>
      <c r="O88" s="33">
        <f>'+0 seg'!$B$33</f>
        <v>0</v>
      </c>
      <c r="P88" s="44">
        <f>'+0 seg'!$C$33</f>
        <v>0</v>
      </c>
      <c r="Q88" s="41">
        <f>'+0 seg'!$D$33</f>
        <v>0</v>
      </c>
      <c r="R88" s="48">
        <f>'+0 seg'!$E$33</f>
        <v>0</v>
      </c>
      <c r="S88" s="33">
        <f>'+0 seg'!$F$33</f>
        <v>0</v>
      </c>
      <c r="T88" s="44">
        <f>'+0 seg'!$G$33</f>
        <v>0</v>
      </c>
      <c r="U88" s="41">
        <f>'+0 seg'!$H$33</f>
        <v>0</v>
      </c>
      <c r="V88" s="48">
        <f>'+0 seg'!$I$33</f>
        <v>0</v>
      </c>
      <c r="W88" s="33"/>
      <c r="X88" s="44"/>
    </row>
    <row r="89" spans="2:24" x14ac:dyDescent="0.25">
      <c r="B89" s="38">
        <v>23</v>
      </c>
      <c r="C89" s="33">
        <f>'+23 seg'!$B$32</f>
        <v>1.5000000000000013E-3</v>
      </c>
      <c r="D89" s="44">
        <f>'+23 seg'!$C$32</f>
        <v>7.0710678118654816E-4</v>
      </c>
      <c r="E89" s="42">
        <f>'+23 seg'!$D$32</f>
        <v>1.0000000000000009E-3</v>
      </c>
      <c r="F89" s="49">
        <f>'+23 seg'!$E$32</f>
        <v>0</v>
      </c>
      <c r="G89" s="31">
        <f>'+23 seg'!$F$32</f>
        <v>1.0000000000000009E-3</v>
      </c>
      <c r="H89" s="45">
        <f>'+23 seg'!$G$32</f>
        <v>0</v>
      </c>
      <c r="I89" s="42">
        <f>'+23 seg'!$H$32</f>
        <v>0</v>
      </c>
      <c r="J89" s="49">
        <f>'+23 seg'!$I$32</f>
        <v>0</v>
      </c>
      <c r="K89" s="31"/>
      <c r="L89" s="45"/>
      <c r="M89" s="42"/>
      <c r="N89" s="49"/>
      <c r="O89" s="31">
        <f>'+23 seg'!$B$33</f>
        <v>7.5000000000000067E-3</v>
      </c>
      <c r="P89" s="45">
        <f>'+23 seg'!$C$33</f>
        <v>7.7781745930520308E-3</v>
      </c>
      <c r="Q89" s="42">
        <f>'+23 seg'!$D$33</f>
        <v>-5.0000000000000044E-4</v>
      </c>
      <c r="R89" s="49">
        <f>'+23 seg'!$E$33</f>
        <v>7.0710678118654816E-4</v>
      </c>
      <c r="S89" s="31">
        <f>'+23 seg'!$F$33</f>
        <v>2.5000000000000022E-3</v>
      </c>
      <c r="T89" s="45">
        <f>'+23 seg'!$G$33</f>
        <v>3.5355339059327407E-3</v>
      </c>
      <c r="U89" s="42">
        <f>'+23 seg'!$H$33</f>
        <v>0</v>
      </c>
      <c r="V89" s="49">
        <f>'+23 seg'!$I$33</f>
        <v>0</v>
      </c>
      <c r="W89" s="31"/>
      <c r="X89" s="45"/>
    </row>
    <row r="90" spans="2:24" x14ac:dyDescent="0.25">
      <c r="B90" s="38">
        <v>42</v>
      </c>
      <c r="C90" s="31">
        <f>'+42 seg'!$B$32</f>
        <v>1.5000000000000013E-3</v>
      </c>
      <c r="D90" s="45">
        <f>'+42 seg'!$C$32</f>
        <v>7.0710678118654816E-4</v>
      </c>
      <c r="E90" s="42">
        <f>'+42 seg'!$D$32</f>
        <v>1.0000000000000009E-3</v>
      </c>
      <c r="F90" s="49">
        <f>'+42 seg'!$E$32</f>
        <v>0</v>
      </c>
      <c r="G90" s="31">
        <f>'+42 seg'!$F$32</f>
        <v>2.0000000000000018E-3</v>
      </c>
      <c r="H90" s="45">
        <f>'+42 seg'!$G$32</f>
        <v>1.4142135623730961E-3</v>
      </c>
      <c r="I90" s="42">
        <f>'+42 seg'!$H$32</f>
        <v>0</v>
      </c>
      <c r="J90" s="49">
        <f>'+42 seg'!$I$32</f>
        <v>0</v>
      </c>
      <c r="K90" s="31"/>
      <c r="L90" s="45"/>
      <c r="M90" s="42"/>
      <c r="N90" s="49"/>
      <c r="O90" s="31">
        <f>'+42 seg'!$B$33</f>
        <v>6.0000000000000053E-3</v>
      </c>
      <c r="P90" s="45">
        <f>'+42 seg'!$C$33</f>
        <v>2.1213203435596444E-2</v>
      </c>
      <c r="Q90" s="42">
        <f>'+42 seg'!$D$33</f>
        <v>-5.0000000000000044E-4</v>
      </c>
      <c r="R90" s="49">
        <f>'+42 seg'!$E$33</f>
        <v>7.0710678118654816E-4</v>
      </c>
      <c r="S90" s="31">
        <f>'+42 seg'!$F$33</f>
        <v>4.500000000000004E-3</v>
      </c>
      <c r="T90" s="45">
        <f>'+42 seg'!$G$33</f>
        <v>4.9497474683058377E-3</v>
      </c>
      <c r="U90" s="42">
        <f>'+42 seg'!$H$33</f>
        <v>0</v>
      </c>
      <c r="V90" s="49">
        <f>'+42 seg'!$I$33</f>
        <v>0</v>
      </c>
      <c r="W90" s="31"/>
      <c r="X90" s="45"/>
    </row>
    <row r="91" spans="2:24" x14ac:dyDescent="0.25">
      <c r="B91" s="38">
        <v>61</v>
      </c>
      <c r="C91" s="31">
        <f>'+61 seg'!$B$32</f>
        <v>2.0000000000000018E-3</v>
      </c>
      <c r="D91" s="45">
        <f>'+61 seg'!$C$32</f>
        <v>1.4142135623730961E-3</v>
      </c>
      <c r="E91" s="42">
        <f>'+61 seg'!$D$32</f>
        <v>1.4999999999999944E-3</v>
      </c>
      <c r="F91" s="49">
        <f>'+61 seg'!$E$32</f>
        <v>7.0710678118653841E-4</v>
      </c>
      <c r="G91" s="31">
        <f>'+61 seg'!$F$32</f>
        <v>2.4999999999999953E-3</v>
      </c>
      <c r="H91" s="45">
        <f>'+61 seg'!$G$32</f>
        <v>7.0710678118655803E-4</v>
      </c>
      <c r="I91" s="42">
        <f>'+61 seg'!$H$32</f>
        <v>0</v>
      </c>
      <c r="J91" s="49">
        <f>'+61 seg'!$I$32</f>
        <v>0</v>
      </c>
      <c r="K91" s="31"/>
      <c r="L91" s="45"/>
      <c r="M91" s="42"/>
      <c r="N91" s="49"/>
      <c r="O91" s="31">
        <f>'+61 seg'!$B$33</f>
        <v>3.0000000000000027E-3</v>
      </c>
      <c r="P91" s="45">
        <f>'+61 seg'!$C$33</f>
        <v>2.1213203435596444E-2</v>
      </c>
      <c r="Q91" s="42">
        <f>'+61 seg'!$D$33</f>
        <v>-1.0000000000000009E-3</v>
      </c>
      <c r="R91" s="49">
        <f>'+61 seg'!$E$33</f>
        <v>0</v>
      </c>
      <c r="S91" s="31">
        <f>'+61 seg'!$F$33</f>
        <v>5.9999999999999915E-3</v>
      </c>
      <c r="T91" s="45">
        <f>'+61 seg'!$G$33</f>
        <v>5.6568542494923654E-3</v>
      </c>
      <c r="U91" s="42">
        <f>'+61 seg'!$H$33</f>
        <v>5.0000000000000044E-4</v>
      </c>
      <c r="V91" s="49">
        <f>'+61 seg'!$I$33</f>
        <v>7.0710678118654816E-4</v>
      </c>
      <c r="W91" s="31"/>
      <c r="X91" s="45"/>
    </row>
    <row r="92" spans="2:24" x14ac:dyDescent="0.25">
      <c r="B92" s="38">
        <v>81</v>
      </c>
      <c r="C92" s="31">
        <f>'+81 seg'!$B$32</f>
        <v>3.0000000000000027E-3</v>
      </c>
      <c r="D92" s="45">
        <f>'+81 seg'!$C$32</f>
        <v>1.4142135623730963E-3</v>
      </c>
      <c r="E92" s="42">
        <f>'+81 seg'!$D$32</f>
        <v>1.4999999999999944E-3</v>
      </c>
      <c r="F92" s="49">
        <f>'+81 seg'!$E$32</f>
        <v>7.0710678118653841E-4</v>
      </c>
      <c r="G92" s="31">
        <f>'+81 seg'!$F$32</f>
        <v>2.9999999999999888E-3</v>
      </c>
      <c r="H92" s="45">
        <f>'+81 seg'!$G$32</f>
        <v>1.4142135623730963E-3</v>
      </c>
      <c r="I92" s="42">
        <f>'+81 seg'!$H$32</f>
        <v>9.9999999999999395E-4</v>
      </c>
      <c r="J92" s="49">
        <f>'+81 seg'!$I$32</f>
        <v>9.8130778667735948E-18</v>
      </c>
      <c r="K92" s="31"/>
      <c r="L92" s="45"/>
      <c r="M92" s="42"/>
      <c r="N92" s="49"/>
      <c r="O92" s="31">
        <f>'+81 seg'!$B$33</f>
        <v>1.0000000000000009E-2</v>
      </c>
      <c r="P92" s="45">
        <f>'+81 seg'!$C$33</f>
        <v>5.6568542494923844E-3</v>
      </c>
      <c r="Q92" s="42">
        <f>'+81 seg'!$D$33</f>
        <v>-1.0000000000000009E-3</v>
      </c>
      <c r="R92" s="49">
        <f>'+81 seg'!$E$33</f>
        <v>0</v>
      </c>
      <c r="S92" s="31">
        <f>'+81 seg'!$F$33</f>
        <v>7.4999999999999928E-3</v>
      </c>
      <c r="T92" s="45">
        <f>'+81 seg'!$G$33</f>
        <v>6.3639610306789138E-3</v>
      </c>
      <c r="U92" s="42">
        <f>'+81 seg'!$H$33</f>
        <v>1.0000000000000009E-3</v>
      </c>
      <c r="V92" s="49">
        <f>'+81 seg'!$I$33</f>
        <v>0</v>
      </c>
      <c r="W92" s="31"/>
      <c r="X92" s="45"/>
    </row>
    <row r="93" spans="2:24" x14ac:dyDescent="0.25">
      <c r="B93" s="38">
        <v>101</v>
      </c>
      <c r="C93" s="31">
        <f>'+101 seg'!$B$32</f>
        <v>4.0000000000000036E-3</v>
      </c>
      <c r="D93" s="45">
        <f>'+101 seg'!$C$32</f>
        <v>1.4142135623730963E-3</v>
      </c>
      <c r="E93" s="42">
        <f>'+101 seg'!$D$32</f>
        <v>2.4999999999999953E-3</v>
      </c>
      <c r="F93" s="49">
        <f>'+101 seg'!$E$32</f>
        <v>7.0710678118653841E-4</v>
      </c>
      <c r="G93" s="31">
        <f>'+101 seg'!$F$32</f>
        <v>3.9999999999999897E-3</v>
      </c>
      <c r="H93" s="45">
        <f>'+101 seg'!$G$32</f>
        <v>1.4142135623730963E-3</v>
      </c>
      <c r="I93" s="42">
        <f>'+101 seg'!$H$32</f>
        <v>9.9999999999999395E-4</v>
      </c>
      <c r="J93" s="49">
        <f>'+101 seg'!$I$32</f>
        <v>9.8130778667735948E-18</v>
      </c>
      <c r="K93" s="31"/>
      <c r="L93" s="45"/>
      <c r="M93" s="42"/>
      <c r="N93" s="49"/>
      <c r="O93" s="31">
        <f>'+101 seg'!$B$33</f>
        <v>2.5000000000000022E-3</v>
      </c>
      <c r="P93" s="45">
        <f>'+101 seg'!$C$33</f>
        <v>1.6263455967290608E-2</v>
      </c>
      <c r="Q93" s="42">
        <f>'+101 seg'!$D$33</f>
        <v>-1.0000000000000009E-3</v>
      </c>
      <c r="R93" s="49">
        <f>'+101 seg'!$E$33</f>
        <v>0</v>
      </c>
      <c r="S93" s="31">
        <f>'+101 seg'!$F$33</f>
        <v>9.999999999999995E-3</v>
      </c>
      <c r="T93" s="45">
        <f>'+101 seg'!$G$33</f>
        <v>7.0710678118654632E-3</v>
      </c>
      <c r="U93" s="42">
        <f>'+101 seg'!$H$33</f>
        <v>1.0000000000000009E-3</v>
      </c>
      <c r="V93" s="49">
        <f>'+101 seg'!$I$33</f>
        <v>0</v>
      </c>
      <c r="W93" s="31"/>
      <c r="X93" s="45"/>
    </row>
    <row r="94" spans="2:24" x14ac:dyDescent="0.25">
      <c r="B94" s="38">
        <v>120</v>
      </c>
      <c r="C94" s="31">
        <f>'+120 seg'!$B$32</f>
        <v>4.0000000000000036E-3</v>
      </c>
      <c r="D94" s="45">
        <f>'+120 seg'!$C$32</f>
        <v>2.8284271247461922E-3</v>
      </c>
      <c r="E94" s="42">
        <f>'+120 seg'!$D$32</f>
        <v>2.4999999999999953E-3</v>
      </c>
      <c r="F94" s="49">
        <f>'+120 seg'!$E$32</f>
        <v>7.0710678118653841E-4</v>
      </c>
      <c r="G94" s="31">
        <f>'+120 seg'!$F$32</f>
        <v>4.4999999999999901E-3</v>
      </c>
      <c r="H94" s="45">
        <f>'+120 seg'!$G$32</f>
        <v>2.1213203435596459E-3</v>
      </c>
      <c r="I94" s="42">
        <f>'+120 seg'!$H$32</f>
        <v>4.9999999999999351E-4</v>
      </c>
      <c r="J94" s="49">
        <f>'+120 seg'!$I$32</f>
        <v>7.0710678118653841E-4</v>
      </c>
      <c r="K94" s="31"/>
      <c r="L94" s="45"/>
      <c r="M94" s="42"/>
      <c r="N94" s="49"/>
      <c r="O94" s="31">
        <f>'+120 seg'!$B$33</f>
        <v>1.0000000000000009E-3</v>
      </c>
      <c r="P94" s="45">
        <f>'+120 seg'!$C$33</f>
        <v>2.1213203435596444E-2</v>
      </c>
      <c r="Q94" s="42">
        <f>'+120 seg'!$D$33</f>
        <v>-5.0000000000000044E-4</v>
      </c>
      <c r="R94" s="49">
        <f>'+120 seg'!$E$33</f>
        <v>7.0710678118654816E-4</v>
      </c>
      <c r="S94" s="31">
        <f>'+120 seg'!$F$33</f>
        <v>1.1499999999999996E-2</v>
      </c>
      <c r="T94" s="45">
        <f>'+120 seg'!$G$33</f>
        <v>7.7781745930520091E-3</v>
      </c>
      <c r="U94" s="42">
        <f>'+120 seg'!$H$33</f>
        <v>1.0000000000000009E-3</v>
      </c>
      <c r="V94" s="49">
        <f>'+120 seg'!$I$33</f>
        <v>0</v>
      </c>
      <c r="W94" s="31"/>
      <c r="X94" s="45"/>
    </row>
    <row r="95" spans="2:24" x14ac:dyDescent="0.25">
      <c r="B95" s="38">
        <v>140</v>
      </c>
      <c r="C95" s="31">
        <f>'+140 seg'!$B$32</f>
        <v>3.5000000000000031E-3</v>
      </c>
      <c r="D95" s="45">
        <f>'+140 seg'!$C$32</f>
        <v>3.5355339059327407E-3</v>
      </c>
      <c r="E95" s="42">
        <f>'+140 seg'!$D$32</f>
        <v>3.4999999999999962E-3</v>
      </c>
      <c r="F95" s="49">
        <f>'+140 seg'!$E$32</f>
        <v>7.0710678118653841E-4</v>
      </c>
      <c r="G95" s="31">
        <f>'+140 seg'!$F$32</f>
        <v>5.499999999999991E-3</v>
      </c>
      <c r="H95" s="45">
        <f>'+140 seg'!$G$32</f>
        <v>2.1213203435596446E-3</v>
      </c>
      <c r="I95" s="42">
        <f>'+140 seg'!$H$32</f>
        <v>5.0000000000000044E-4</v>
      </c>
      <c r="J95" s="49">
        <f>'+140 seg'!$I$32</f>
        <v>7.0710678118654816E-4</v>
      </c>
      <c r="K95" s="31"/>
      <c r="L95" s="45"/>
      <c r="M95" s="42"/>
      <c r="N95" s="49"/>
      <c r="O95" s="31">
        <f>'+140 seg'!$B$33</f>
        <v>2.0000000000000018E-3</v>
      </c>
      <c r="P95" s="45">
        <f>'+140 seg'!$C$33</f>
        <v>2.1213203435596444E-2</v>
      </c>
      <c r="Q95" s="42">
        <f>'+140 seg'!$D$33</f>
        <v>-5.0000000000000044E-4</v>
      </c>
      <c r="R95" s="49">
        <f>'+140 seg'!$E$33</f>
        <v>7.0710678118654816E-4</v>
      </c>
      <c r="S95" s="31">
        <f>'+140 seg'!$F$33</f>
        <v>1.3499999999999998E-2</v>
      </c>
      <c r="T95" s="45">
        <f>'+140 seg'!$G$33</f>
        <v>1.0606601717798201E-2</v>
      </c>
      <c r="U95" s="42">
        <f>'+140 seg'!$H$33</f>
        <v>1.0000000000000009E-3</v>
      </c>
      <c r="V95" s="49">
        <f>'+140 seg'!$I$33</f>
        <v>0</v>
      </c>
      <c r="W95" s="31"/>
      <c r="X95" s="45"/>
    </row>
    <row r="96" spans="2:24" x14ac:dyDescent="0.25">
      <c r="B96" s="38">
        <v>158</v>
      </c>
      <c r="C96" s="31">
        <f>'+158 seg'!$B$32</f>
        <v>5.0000000000000044E-3</v>
      </c>
      <c r="D96" s="45">
        <f>'+158 seg'!$C$32</f>
        <v>2.8284271247461922E-3</v>
      </c>
      <c r="E96" s="42">
        <f>'+158 seg'!$D$32</f>
        <v>2.9999999999999957E-3</v>
      </c>
      <c r="F96" s="49">
        <f>'+158 seg'!$E$32</f>
        <v>1.4142135623730866E-3</v>
      </c>
      <c r="G96" s="31">
        <f>'+158 seg'!$F$32</f>
        <v>5.9999999999999915E-3</v>
      </c>
      <c r="H96" s="45">
        <f>'+158 seg'!$G$32</f>
        <v>2.8284271247461909E-3</v>
      </c>
      <c r="I96" s="42">
        <f>'+158 seg'!$H$32</f>
        <v>9.9999999999999395E-4</v>
      </c>
      <c r="J96" s="49">
        <f>'+158 seg'!$I$32</f>
        <v>9.8130778667735948E-18</v>
      </c>
      <c r="K96" s="31"/>
      <c r="L96" s="45"/>
      <c r="M96" s="42"/>
      <c r="N96" s="49"/>
      <c r="O96" s="31">
        <f>'+158 seg'!$B$33</f>
        <v>6.0000000000000053E-3</v>
      </c>
      <c r="P96" s="45">
        <f>'+158 seg'!$C$33</f>
        <v>1.6970562748477157E-2</v>
      </c>
      <c r="Q96" s="42">
        <f>'+158 seg'!$D$33</f>
        <v>0</v>
      </c>
      <c r="R96" s="49">
        <f>'+158 seg'!$E$33</f>
        <v>1.4142135623730963E-3</v>
      </c>
      <c r="S96" s="31">
        <f>'+158 seg'!$F$33</f>
        <v>1.3999999999999999E-2</v>
      </c>
      <c r="T96" s="45">
        <f>'+158 seg'!$G$33</f>
        <v>1.1313708498984746E-2</v>
      </c>
      <c r="U96" s="42">
        <f>'+158 seg'!$H$33</f>
        <v>2.0000000000000018E-3</v>
      </c>
      <c r="V96" s="49">
        <f>'+158 seg'!$I$33</f>
        <v>1.4142135623730961E-3</v>
      </c>
      <c r="W96" s="31"/>
      <c r="X96" s="45"/>
    </row>
    <row r="97" spans="2:24" x14ac:dyDescent="0.25">
      <c r="B97" s="38">
        <v>178</v>
      </c>
      <c r="C97" s="31">
        <f>'+178 seg'!$B$32</f>
        <v>5.0000000000000044E-3</v>
      </c>
      <c r="D97" s="45">
        <f>'+178 seg'!$C$32</f>
        <v>2.8284271247461922E-3</v>
      </c>
      <c r="E97" s="42">
        <f>'+178 seg'!$D$32</f>
        <v>3.9999999999999966E-3</v>
      </c>
      <c r="F97" s="49">
        <f>'+178 seg'!$E$32</f>
        <v>1.4142135623730866E-3</v>
      </c>
      <c r="G97" s="31">
        <f>'+178 seg'!$F$32</f>
        <v>6.4999999999999919E-3</v>
      </c>
      <c r="H97" s="45">
        <f>'+178 seg'!$G$32</f>
        <v>2.1213203435596446E-3</v>
      </c>
      <c r="I97" s="42">
        <f>'+178 seg'!$H$32</f>
        <v>5.0000000000000044E-4</v>
      </c>
      <c r="J97" s="49">
        <f>'+178 seg'!$I$32</f>
        <v>7.0710678118654816E-4</v>
      </c>
      <c r="K97" s="31"/>
      <c r="L97" s="45"/>
      <c r="M97" s="42"/>
      <c r="N97" s="49"/>
      <c r="O97" s="31">
        <f>'+178 seg'!$B$33</f>
        <v>4.0000000000000036E-3</v>
      </c>
      <c r="P97" s="45">
        <f>'+178 seg'!$C$33</f>
        <v>2.2627416997969541E-2</v>
      </c>
      <c r="Q97" s="42">
        <f>'+178 seg'!$D$33</f>
        <v>5.0000000000000044E-4</v>
      </c>
      <c r="R97" s="49">
        <f>'+178 seg'!$E$33</f>
        <v>2.1213203435596446E-3</v>
      </c>
      <c r="S97" s="31">
        <f>'+178 seg'!$F$33</f>
        <v>1.55E-2</v>
      </c>
      <c r="T97" s="45">
        <f>'+178 seg'!$G$33</f>
        <v>1.3435028842544394E-2</v>
      </c>
      <c r="U97" s="42">
        <f>'+178 seg'!$H$33</f>
        <v>2.0000000000000018E-3</v>
      </c>
      <c r="V97" s="49">
        <f>'+178 seg'!$I$33</f>
        <v>0</v>
      </c>
      <c r="W97" s="31"/>
      <c r="X97" s="45"/>
    </row>
    <row r="98" spans="2:24" x14ac:dyDescent="0.25">
      <c r="B98" s="38">
        <v>198</v>
      </c>
      <c r="C98" s="31">
        <f>'+198 seg'!$B$32</f>
        <v>5.5000000000000049E-3</v>
      </c>
      <c r="D98" s="45">
        <f>'+198 seg'!$C$32</f>
        <v>3.5355339059327411E-3</v>
      </c>
      <c r="E98" s="42">
        <f>'+198 seg'!$D$32</f>
        <v>3.9999999999999966E-3</v>
      </c>
      <c r="F98" s="49">
        <f>'+198 seg'!$E$32</f>
        <v>1.4142135623730866E-3</v>
      </c>
      <c r="G98" s="31">
        <f>'+198 seg'!$F$32</f>
        <v>6.9999999999999923E-3</v>
      </c>
      <c r="H98" s="45">
        <f>'+198 seg'!$G$32</f>
        <v>2.8284271247461935E-3</v>
      </c>
      <c r="I98" s="42">
        <f>'+198 seg'!$H$32</f>
        <v>9.9999999999999395E-4</v>
      </c>
      <c r="J98" s="49">
        <f>'+198 seg'!$I$32</f>
        <v>9.8130778667735948E-18</v>
      </c>
      <c r="K98" s="31"/>
      <c r="L98" s="45"/>
      <c r="M98" s="42"/>
      <c r="N98" s="49"/>
      <c r="O98" s="31">
        <f>'+198 seg'!$B$33</f>
        <v>8.0000000000000071E-3</v>
      </c>
      <c r="P98" s="45">
        <f>'+198 seg'!$C$33</f>
        <v>1.8384776310850254E-2</v>
      </c>
      <c r="Q98" s="42">
        <f>'+198 seg'!$D$33</f>
        <v>5.0000000000000044E-4</v>
      </c>
      <c r="R98" s="49">
        <f>'+198 seg'!$E$33</f>
        <v>3.5355339059327407E-3</v>
      </c>
      <c r="S98" s="31">
        <f>'+198 seg'!$F$33</f>
        <v>1.55E-2</v>
      </c>
      <c r="T98" s="45">
        <f>'+198 seg'!$G$33</f>
        <v>1.4849242404917492E-2</v>
      </c>
      <c r="U98" s="42">
        <f>'+198 seg'!$H$33</f>
        <v>2.0000000000000018E-3</v>
      </c>
      <c r="V98" s="49">
        <f>'+198 seg'!$I$33</f>
        <v>1.4142135623730961E-3</v>
      </c>
      <c r="W98" s="31"/>
      <c r="X98" s="45"/>
    </row>
    <row r="99" spans="2:24" x14ac:dyDescent="0.25">
      <c r="B99" s="38">
        <v>219</v>
      </c>
      <c r="C99" s="31">
        <f>'+219 seg'!$B$32</f>
        <v>6.0000000000000053E-3</v>
      </c>
      <c r="D99" s="45">
        <f>'+219 seg'!$C$32</f>
        <v>2.8284271247461957E-3</v>
      </c>
      <c r="E99" s="42">
        <f>'+219 seg'!$D$32</f>
        <v>3.9999999999999966E-3</v>
      </c>
      <c r="F99" s="49">
        <f>'+219 seg'!$E$32</f>
        <v>1.4142135623730866E-3</v>
      </c>
      <c r="G99" s="31">
        <f>'+219 seg'!$F$32</f>
        <v>6.9999999999999923E-3</v>
      </c>
      <c r="H99" s="45">
        <f>'+219 seg'!$G$32</f>
        <v>2.8284271247461935E-3</v>
      </c>
      <c r="I99" s="42">
        <f>'+219 seg'!$H$32</f>
        <v>1.4999999999999944E-3</v>
      </c>
      <c r="J99" s="49">
        <f>'+219 seg'!$I$32</f>
        <v>7.0710678118655803E-4</v>
      </c>
      <c r="K99" s="31"/>
      <c r="L99" s="45"/>
      <c r="M99" s="42"/>
      <c r="N99" s="49"/>
      <c r="O99" s="31">
        <f>'+219 seg'!$B$33</f>
        <v>6.5000000000000058E-3</v>
      </c>
      <c r="P99" s="45">
        <f>'+219 seg'!$C$33</f>
        <v>1.9091883092036802E-2</v>
      </c>
      <c r="Q99" s="42">
        <f>'+219 seg'!$D$33</f>
        <v>0</v>
      </c>
      <c r="R99" s="49">
        <f>'+219 seg'!$E$33</f>
        <v>2.8284271247461927E-3</v>
      </c>
      <c r="S99" s="31">
        <f>'+219 seg'!$F$33</f>
        <v>1.6E-2</v>
      </c>
      <c r="T99" s="45">
        <f>'+219 seg'!$G$33</f>
        <v>1.6970562748477139E-2</v>
      </c>
      <c r="U99" s="42">
        <f>'+219 seg'!$H$33</f>
        <v>3.0000000000000027E-3</v>
      </c>
      <c r="V99" s="49">
        <f>'+219 seg'!$I$33</f>
        <v>0</v>
      </c>
      <c r="W99" s="31"/>
      <c r="X99" s="45"/>
    </row>
    <row r="100" spans="2:24" x14ac:dyDescent="0.25">
      <c r="B100" s="38">
        <v>238</v>
      </c>
      <c r="C100" s="31">
        <f>'+238 seg'!$B$32</f>
        <v>6.0000000000000053E-3</v>
      </c>
      <c r="D100" s="45">
        <f>'+238 seg'!$C$32</f>
        <v>2.8284271247461957E-3</v>
      </c>
      <c r="E100" s="42">
        <f>'+238 seg'!$D$32</f>
        <v>4.4999999999999971E-3</v>
      </c>
      <c r="F100" s="49">
        <f>'+238 seg'!$E$32</f>
        <v>2.1213203435596346E-3</v>
      </c>
      <c r="G100" s="31">
        <f>'+238 seg'!$F$32</f>
        <v>6.9999999999999923E-3</v>
      </c>
      <c r="H100" s="45">
        <f>'+238 seg'!$G$32</f>
        <v>4.2426406871192892E-3</v>
      </c>
      <c r="I100" s="42">
        <f>'+238 seg'!$H$32</f>
        <v>5.0000000000000044E-4</v>
      </c>
      <c r="J100" s="49">
        <f>'+238 seg'!$I$32</f>
        <v>7.0710678118654816E-4</v>
      </c>
      <c r="K100" s="31"/>
      <c r="L100" s="45"/>
      <c r="M100" s="42"/>
      <c r="N100" s="49"/>
      <c r="O100" s="31">
        <f>'+238 seg'!$B$33</f>
        <v>7.5000000000000067E-3</v>
      </c>
      <c r="P100" s="45">
        <f>'+238 seg'!$C$33</f>
        <v>1.9091883092036802E-2</v>
      </c>
      <c r="Q100" s="42">
        <f>'+238 seg'!$D$33</f>
        <v>1.0000000000000009E-3</v>
      </c>
      <c r="R100" s="49">
        <f>'+238 seg'!$E$33</f>
        <v>4.2426406871192892E-3</v>
      </c>
      <c r="S100" s="31">
        <f>'+238 seg'!$F$33</f>
        <v>1.7000000000000001E-2</v>
      </c>
      <c r="T100" s="45">
        <f>'+238 seg'!$G$33</f>
        <v>1.8384776310850236E-2</v>
      </c>
      <c r="U100" s="42">
        <f>'+238 seg'!$H$33</f>
        <v>2.5000000000000022E-3</v>
      </c>
      <c r="V100" s="49">
        <f>'+238 seg'!$I$33</f>
        <v>7.0710678118654816E-4</v>
      </c>
      <c r="W100" s="31"/>
      <c r="X100" s="45"/>
    </row>
    <row r="101" spans="2:24" x14ac:dyDescent="0.25">
      <c r="B101" s="38">
        <v>260</v>
      </c>
      <c r="C101" s="31">
        <f>'+260 seg'!$B$32</f>
        <v>5.5000000000000049E-3</v>
      </c>
      <c r="D101" s="45">
        <f>'+260 seg'!$C$32</f>
        <v>3.5355339059327411E-3</v>
      </c>
      <c r="E101" s="42">
        <f>'+260 seg'!$D$32</f>
        <v>4.4999999999999971E-3</v>
      </c>
      <c r="F101" s="49">
        <f>'+260 seg'!$E$32</f>
        <v>7.0710678118653841E-4</v>
      </c>
      <c r="G101" s="31">
        <f>'+260 seg'!$F$32</f>
        <v>6.9999999999999923E-3</v>
      </c>
      <c r="H101" s="45">
        <f>'+260 seg'!$G$32</f>
        <v>4.2426406871192892E-3</v>
      </c>
      <c r="I101" s="42">
        <f>'+260 seg'!$H$32</f>
        <v>0</v>
      </c>
      <c r="J101" s="49">
        <f>'+260 seg'!$I$32</f>
        <v>0</v>
      </c>
      <c r="K101" s="31"/>
      <c r="L101" s="45"/>
      <c r="M101" s="42"/>
      <c r="N101" s="49"/>
      <c r="O101" s="31">
        <f>'+260 seg'!$B$33</f>
        <v>1.2000000000000011E-2</v>
      </c>
      <c r="P101" s="45">
        <f>'+260 seg'!$C$33</f>
        <v>1.2727922061357868E-2</v>
      </c>
      <c r="Q101" s="42">
        <f>'+260 seg'!$D$33</f>
        <v>1.0000000000000009E-3</v>
      </c>
      <c r="R101" s="49">
        <f>'+260 seg'!$E$33</f>
        <v>4.2426406871192892E-3</v>
      </c>
      <c r="S101" s="31">
        <f>'+260 seg'!$F$33</f>
        <v>1.7500000000000002E-2</v>
      </c>
      <c r="T101" s="45">
        <f>'+260 seg'!$G$33</f>
        <v>2.0506096654409878E-2</v>
      </c>
      <c r="U101" s="42">
        <f>'+260 seg'!$H$33</f>
        <v>2.0000000000000018E-3</v>
      </c>
      <c r="V101" s="49">
        <f>'+260 seg'!$I$33</f>
        <v>0</v>
      </c>
      <c r="W101" s="31"/>
      <c r="X101" s="45"/>
    </row>
    <row r="102" spans="2:24" x14ac:dyDescent="0.25">
      <c r="B102" s="38">
        <v>279</v>
      </c>
      <c r="C102" s="31">
        <f>'+279 seg'!$B$32</f>
        <v>6.0000000000000053E-3</v>
      </c>
      <c r="D102" s="45">
        <f>'+279 seg'!$C$32</f>
        <v>2.8284271247461957E-3</v>
      </c>
      <c r="E102" s="42">
        <f>'+279 seg'!$D$32</f>
        <v>4.4999999999999971E-3</v>
      </c>
      <c r="F102" s="49">
        <f>'+279 seg'!$E$32</f>
        <v>7.0710678118653841E-4</v>
      </c>
      <c r="G102" s="31">
        <f>'+279 seg'!$F$32</f>
        <v>7.4999999999999928E-3</v>
      </c>
      <c r="H102" s="45">
        <f>'+279 seg'!$G$32</f>
        <v>4.9497474683058377E-3</v>
      </c>
      <c r="I102" s="42">
        <f>'+279 seg'!$H$32</f>
        <v>0</v>
      </c>
      <c r="J102" s="49">
        <f>'+279 seg'!$I$32</f>
        <v>0</v>
      </c>
      <c r="K102" s="31"/>
      <c r="L102" s="45"/>
      <c r="M102" s="42"/>
      <c r="N102" s="49"/>
      <c r="O102" s="31">
        <f>'+279 seg'!$B$33</f>
        <v>1.4500000000000013E-2</v>
      </c>
      <c r="P102" s="45">
        <f>'+279 seg'!$C$33</f>
        <v>9.1923881554251269E-3</v>
      </c>
      <c r="Q102" s="42">
        <f>'+279 seg'!$D$33</f>
        <v>1.0000000000000009E-3</v>
      </c>
      <c r="R102" s="49">
        <f>'+279 seg'!$E$33</f>
        <v>4.2426406871192892E-3</v>
      </c>
      <c r="S102" s="31">
        <f>'+279 seg'!$F$33</f>
        <v>1.7500000000000002E-2</v>
      </c>
      <c r="T102" s="45">
        <f>'+279 seg'!$G$33</f>
        <v>2.1920310216782975E-2</v>
      </c>
      <c r="U102" s="42">
        <f>'+279 seg'!$H$33</f>
        <v>2.5000000000000022E-3</v>
      </c>
      <c r="V102" s="49">
        <f>'+279 seg'!$I$33</f>
        <v>7.0710678118654816E-4</v>
      </c>
      <c r="W102" s="31"/>
      <c r="X102" s="45"/>
    </row>
    <row r="103" spans="2:24" x14ac:dyDescent="0.25">
      <c r="B103" s="38">
        <v>300</v>
      </c>
      <c r="C103" s="31">
        <f>'+300 seg'!$B$32</f>
        <v>6.5000000000000058E-3</v>
      </c>
      <c r="D103" s="45">
        <f>'+300 seg'!$C$32</f>
        <v>3.5355339059327385E-3</v>
      </c>
      <c r="E103" s="42">
        <f>'+300 seg'!$D$32</f>
        <v>5.4999999999999979E-3</v>
      </c>
      <c r="F103" s="49">
        <f>'+300 seg'!$E$32</f>
        <v>7.0710678118653841E-4</v>
      </c>
      <c r="G103" s="31">
        <f>'+300 seg'!$F$32</f>
        <v>7.4999999999999928E-3</v>
      </c>
      <c r="H103" s="45">
        <f>'+300 seg'!$G$32</f>
        <v>4.9497474683058377E-3</v>
      </c>
      <c r="I103" s="42">
        <f>'+300 seg'!$H$32</f>
        <v>5.0000000000000044E-4</v>
      </c>
      <c r="J103" s="49">
        <f>'+300 seg'!$I$32</f>
        <v>7.0710678118654816E-4</v>
      </c>
      <c r="K103" s="31"/>
      <c r="L103" s="45"/>
      <c r="M103" s="42"/>
      <c r="N103" s="49"/>
      <c r="O103" s="31">
        <f>'+300 seg'!$B$33</f>
        <v>8.0000000000000071E-3</v>
      </c>
      <c r="P103" s="45">
        <f>'+300 seg'!$C$33</f>
        <v>1.9798989873223347E-2</v>
      </c>
      <c r="Q103" s="42">
        <f>'+300 seg'!$D$33</f>
        <v>1.9999999999999948E-3</v>
      </c>
      <c r="R103" s="49">
        <f>'+300 seg'!$E$33</f>
        <v>5.6568542494923758E-3</v>
      </c>
      <c r="S103" s="31">
        <f>'+300 seg'!$F$33</f>
        <v>1.8000000000000002E-2</v>
      </c>
      <c r="T103" s="45">
        <f>'+300 seg'!$G$33</f>
        <v>2.2627416997969524E-2</v>
      </c>
      <c r="U103" s="42">
        <f>'+300 seg'!$H$33</f>
        <v>2.5000000000000022E-3</v>
      </c>
      <c r="V103" s="49">
        <f>'+300 seg'!$I$33</f>
        <v>7.0710678118654816E-4</v>
      </c>
      <c r="W103" s="31"/>
      <c r="X103" s="45"/>
    </row>
    <row r="104" spans="2:24" x14ac:dyDescent="0.25">
      <c r="B104" s="38">
        <v>326</v>
      </c>
      <c r="C104" s="31">
        <f>'+326 seg'!$B$32</f>
        <v>6.5000000000000058E-3</v>
      </c>
      <c r="D104" s="45">
        <f>'+326 seg'!$C$32</f>
        <v>3.5355339059327385E-3</v>
      </c>
      <c r="E104" s="42">
        <f>'+326 seg'!$D$32</f>
        <v>5.4999999999999979E-3</v>
      </c>
      <c r="F104" s="49">
        <f>'+326 seg'!$E$32</f>
        <v>7.0710678118653841E-4</v>
      </c>
      <c r="G104" s="31">
        <f>'+326 seg'!$F$32</f>
        <v>8.4999999999999937E-3</v>
      </c>
      <c r="H104" s="45">
        <f>'+326 seg'!$G$32</f>
        <v>4.9497474683058377E-3</v>
      </c>
      <c r="I104" s="42">
        <f>'+326 seg'!$H$32</f>
        <v>4.9999999999999351E-4</v>
      </c>
      <c r="J104" s="49">
        <f>'+326 seg'!$I$32</f>
        <v>7.0710678118653841E-4</v>
      </c>
      <c r="K104" s="31"/>
      <c r="L104" s="45"/>
      <c r="M104" s="42"/>
      <c r="N104" s="49"/>
      <c r="O104" s="31">
        <f>'+326 seg'!$B$33</f>
        <v>9.5000000000000084E-3</v>
      </c>
      <c r="P104" s="45">
        <f>'+326 seg'!$C$33</f>
        <v>1.9091883092036802E-2</v>
      </c>
      <c r="Q104" s="42">
        <f>'+326 seg'!$D$33</f>
        <v>2.9999999999999957E-3</v>
      </c>
      <c r="R104" s="49">
        <f>'+326 seg'!$E$33</f>
        <v>7.071067811865471E-3</v>
      </c>
      <c r="S104" s="31">
        <f>'+326 seg'!$F$33</f>
        <v>1.8500000000000003E-2</v>
      </c>
      <c r="T104" s="45">
        <f>'+326 seg'!$G$33</f>
        <v>2.3334523779156069E-2</v>
      </c>
      <c r="U104" s="42">
        <f>'+326 seg'!$H$33</f>
        <v>2.5000000000000022E-3</v>
      </c>
      <c r="V104" s="49">
        <f>'+326 seg'!$I$33</f>
        <v>7.0710678118654816E-4</v>
      </c>
      <c r="W104" s="31"/>
      <c r="X104" s="45"/>
    </row>
    <row r="105" spans="2:24" x14ac:dyDescent="0.25">
      <c r="B105" s="38">
        <v>367</v>
      </c>
      <c r="C105" s="31">
        <f>'+367 seg'!$B$32</f>
        <v>6.0000000000000053E-3</v>
      </c>
      <c r="D105" s="45">
        <f>'+367 seg'!$C$32</f>
        <v>4.2426406871192892E-3</v>
      </c>
      <c r="E105" s="42">
        <f>'+367 seg'!$D$32</f>
        <v>5.4999999999999979E-3</v>
      </c>
      <c r="F105" s="49">
        <f>'+367 seg'!$E$32</f>
        <v>7.0710678118655803E-4</v>
      </c>
      <c r="G105" s="31">
        <f>'+367 seg'!$F$32</f>
        <v>9.4999999999999946E-3</v>
      </c>
      <c r="H105" s="45">
        <f>'+367 seg'!$G$32</f>
        <v>4.9497474683058351E-3</v>
      </c>
      <c r="I105" s="42">
        <f>'+367 seg'!$H$32</f>
        <v>4.9999999999999351E-4</v>
      </c>
      <c r="J105" s="49">
        <f>'+367 seg'!$I$32</f>
        <v>7.0710678118653841E-4</v>
      </c>
      <c r="K105" s="31"/>
      <c r="L105" s="45"/>
      <c r="M105" s="42"/>
      <c r="N105" s="49"/>
      <c r="O105" s="31">
        <f>'+367 seg'!$B$33</f>
        <v>9.000000000000008E-3</v>
      </c>
      <c r="P105" s="45">
        <f>'+367 seg'!$C$33</f>
        <v>1.9798989873223351E-2</v>
      </c>
      <c r="Q105" s="42">
        <f>'+367 seg'!$D$33</f>
        <v>2.9999999999999957E-3</v>
      </c>
      <c r="R105" s="49">
        <f>'+367 seg'!$E$33</f>
        <v>7.071067811865471E-3</v>
      </c>
      <c r="S105" s="31">
        <f>'+367 seg'!$F$33</f>
        <v>1.9000000000000003E-2</v>
      </c>
      <c r="T105" s="45">
        <f>'+367 seg'!$G$33</f>
        <v>2.5455844122715714E-2</v>
      </c>
      <c r="U105" s="42">
        <f>'+367 seg'!$H$33</f>
        <v>2.0000000000000018E-3</v>
      </c>
      <c r="V105" s="49">
        <f>'+367 seg'!$I$33</f>
        <v>0</v>
      </c>
      <c r="W105" s="31"/>
      <c r="X105" s="45"/>
    </row>
    <row r="106" spans="2:24" x14ac:dyDescent="0.25">
      <c r="B106" s="38">
        <v>431</v>
      </c>
      <c r="C106" s="31">
        <f>'+431 seg'!$B$32</f>
        <v>7.0000000000000062E-3</v>
      </c>
      <c r="D106" s="45">
        <f>'+431 seg'!$C$32</f>
        <v>2.8284271247461935E-3</v>
      </c>
      <c r="E106" s="42">
        <f>'+431 seg'!$D$32</f>
        <v>5.9999999999999984E-3</v>
      </c>
      <c r="F106" s="49">
        <f>'+431 seg'!$E$32</f>
        <v>9.8130778667735948E-18</v>
      </c>
      <c r="G106" s="31">
        <f>'+431 seg'!$F$32</f>
        <v>1.0499999999999995E-2</v>
      </c>
      <c r="H106" s="45">
        <f>'+431 seg'!$G$32</f>
        <v>4.9497474683058412E-3</v>
      </c>
      <c r="I106" s="42">
        <f>'+431 seg'!$H$32</f>
        <v>0</v>
      </c>
      <c r="J106" s="49">
        <f>'+431 seg'!$I$32</f>
        <v>0</v>
      </c>
      <c r="K106" s="31"/>
      <c r="L106" s="45"/>
      <c r="M106" s="42"/>
      <c r="N106" s="49"/>
      <c r="O106" s="31">
        <f>'+431 seg'!$B$33</f>
        <v>1.150000000000001E-2</v>
      </c>
      <c r="P106" s="45">
        <f>'+431 seg'!$C$33</f>
        <v>1.7677669529663705E-2</v>
      </c>
      <c r="Q106" s="42">
        <f>'+431 seg'!$D$33</f>
        <v>4.4999999999999971E-3</v>
      </c>
      <c r="R106" s="49">
        <f>'+431 seg'!$E$33</f>
        <v>9.1923881554251165E-3</v>
      </c>
      <c r="S106" s="31">
        <f>'+431 seg'!$F$33</f>
        <v>2.0000000000000004E-2</v>
      </c>
      <c r="T106" s="45">
        <f>'+431 seg'!$G$33</f>
        <v>2.5455844122715714E-2</v>
      </c>
      <c r="U106" s="42">
        <f>'+431 seg'!$H$33</f>
        <v>2.5000000000000022E-3</v>
      </c>
      <c r="V106" s="49">
        <f>'+431 seg'!$I$33</f>
        <v>7.0710678118654816E-4</v>
      </c>
      <c r="W106" s="31"/>
      <c r="X106" s="45"/>
    </row>
    <row r="107" spans="2:24" x14ac:dyDescent="0.25">
      <c r="B107" s="38">
        <v>518</v>
      </c>
      <c r="C107" s="31">
        <f>'+518 seg'!$B$32</f>
        <v>8.4999999999999937E-3</v>
      </c>
      <c r="D107" s="45">
        <f>'+518 seg'!$C$32</f>
        <v>3.5355339059327229E-3</v>
      </c>
      <c r="E107" s="42">
        <f>'+518 seg'!$D$32</f>
        <v>5.9999999999999984E-3</v>
      </c>
      <c r="F107" s="49">
        <f>'+518 seg'!$E$32</f>
        <v>9.8130778667735948E-18</v>
      </c>
      <c r="G107" s="31">
        <f>'+518 seg'!$F$32</f>
        <v>1.0999999999999996E-2</v>
      </c>
      <c r="H107" s="45">
        <f>'+518 seg'!$G$32</f>
        <v>4.2426406871192918E-3</v>
      </c>
      <c r="I107" s="42">
        <f>'+518 seg'!$H$32</f>
        <v>4.9999999999999351E-4</v>
      </c>
      <c r="J107" s="49">
        <f>'+518 seg'!$I$32</f>
        <v>7.0710678118653841E-4</v>
      </c>
      <c r="K107" s="31"/>
      <c r="L107" s="45"/>
      <c r="M107" s="42"/>
      <c r="N107" s="49"/>
      <c r="O107" s="31">
        <f>'+518 seg'!$B$33</f>
        <v>1.3500000000000012E-2</v>
      </c>
      <c r="P107" s="45">
        <f>'+518 seg'!$C$33</f>
        <v>1.6263455967290605E-2</v>
      </c>
      <c r="Q107" s="42">
        <f>'+518 seg'!$D$33</f>
        <v>5.4999999999999979E-3</v>
      </c>
      <c r="R107" s="49">
        <f>'+518 seg'!$E$33</f>
        <v>1.0606601717798213E-2</v>
      </c>
      <c r="S107" s="31">
        <f>'+518 seg'!$F$33</f>
        <v>2.1000000000000005E-2</v>
      </c>
      <c r="T107" s="45">
        <f>'+518 seg'!$G$33</f>
        <v>2.8284271247461905E-2</v>
      </c>
      <c r="U107" s="42">
        <f>'+518 seg'!$H$33</f>
        <v>3.0000000000000027E-3</v>
      </c>
      <c r="V107" s="49">
        <f>'+518 seg'!$I$33</f>
        <v>0</v>
      </c>
      <c r="W107" s="31"/>
      <c r="X107" s="45"/>
    </row>
    <row r="108" spans="2:24" x14ac:dyDescent="0.25">
      <c r="B108" s="38">
        <v>549</v>
      </c>
      <c r="C108" s="31">
        <f>'+549 seg'!$B$32</f>
        <v>8.9999999999999941E-3</v>
      </c>
      <c r="D108" s="45">
        <f>'+549 seg'!$C$32</f>
        <v>2.8284271247461731E-3</v>
      </c>
      <c r="E108" s="42">
        <f>'+549 seg'!$D$32</f>
        <v>5.9999999999999984E-3</v>
      </c>
      <c r="F108" s="49">
        <f>'+549 seg'!$E$32</f>
        <v>1.4142135623731061E-3</v>
      </c>
      <c r="G108" s="31">
        <f>'+549 seg'!$F$32</f>
        <v>1.0999999999999996E-2</v>
      </c>
      <c r="H108" s="45">
        <f>'+549 seg'!$G$32</f>
        <v>5.656854249492387E-3</v>
      </c>
      <c r="I108" s="42">
        <f>'+549 seg'!$H$32</f>
        <v>4.9999999999999351E-4</v>
      </c>
      <c r="J108" s="49">
        <f>'+549 seg'!$I$32</f>
        <v>7.0710678118653841E-4</v>
      </c>
      <c r="K108" s="31"/>
      <c r="L108" s="45"/>
      <c r="M108" s="42"/>
      <c r="N108" s="49"/>
      <c r="O108" s="31">
        <f>'+549 seg'!$B$33</f>
        <v>1.2000000000000011E-2</v>
      </c>
      <c r="P108" s="45">
        <f>'+549 seg'!$C$33</f>
        <v>2.1213203435596444E-2</v>
      </c>
      <c r="Q108" s="42">
        <f>'+549 seg'!$D$33</f>
        <v>4.9999999999999975E-3</v>
      </c>
      <c r="R108" s="49">
        <f>'+549 seg'!$E$33</f>
        <v>9.899494936611665E-3</v>
      </c>
      <c r="S108" s="31">
        <f>'+549 seg'!$F$33</f>
        <v>2.2500000000000006E-2</v>
      </c>
      <c r="T108" s="45">
        <f>'+549 seg'!$G$33</f>
        <v>2.8991378028648453E-2</v>
      </c>
      <c r="U108" s="42">
        <f>'+549 seg'!$H$33</f>
        <v>3.0000000000000027E-3</v>
      </c>
      <c r="V108" s="49">
        <f>'+549 seg'!$I$33</f>
        <v>1.4142135623730963E-3</v>
      </c>
      <c r="W108" s="31"/>
      <c r="X108" s="45"/>
    </row>
    <row r="109" spans="2:24" x14ac:dyDescent="0.25">
      <c r="B109" s="38">
        <v>605</v>
      </c>
      <c r="C109" s="31">
        <f>'+605 seg'!$B$32</f>
        <v>9.4999999999999946E-3</v>
      </c>
      <c r="D109" s="45">
        <f>'+605 seg'!$C$32</f>
        <v>3.5355339059327195E-3</v>
      </c>
      <c r="E109" s="42">
        <f>'+605 seg'!$D$32</f>
        <v>5.9999999999999984E-3</v>
      </c>
      <c r="F109" s="49">
        <f>'+605 seg'!$E$32</f>
        <v>1.4142135623731061E-3</v>
      </c>
      <c r="G109" s="31">
        <f>'+605 seg'!$F$32</f>
        <v>1.1999999999999997E-2</v>
      </c>
      <c r="H109" s="45">
        <f>'+605 seg'!$G$32</f>
        <v>7.0710678118654805E-3</v>
      </c>
      <c r="I109" s="42">
        <f>'+605 seg'!$H$32</f>
        <v>0</v>
      </c>
      <c r="J109" s="49">
        <f>'+605 seg'!$I$32</f>
        <v>0</v>
      </c>
      <c r="K109" s="31"/>
      <c r="L109" s="45"/>
      <c r="M109" s="42"/>
      <c r="N109" s="49"/>
      <c r="O109" s="31">
        <f>'+605 seg'!$B$33</f>
        <v>1.6000000000000014E-2</v>
      </c>
      <c r="P109" s="45">
        <f>'+605 seg'!$C$33</f>
        <v>1.6970562748477157E-2</v>
      </c>
      <c r="Q109" s="42">
        <f>'+605 seg'!$D$33</f>
        <v>5.4999999999999979E-3</v>
      </c>
      <c r="R109" s="49">
        <f>'+605 seg'!$E$33</f>
        <v>1.0606601717798213E-2</v>
      </c>
      <c r="S109" s="31">
        <f>'+605 seg'!$F$33</f>
        <v>2.4000000000000007E-2</v>
      </c>
      <c r="T109" s="45">
        <f>'+605 seg'!$G$33</f>
        <v>2.9698484809835002E-2</v>
      </c>
      <c r="U109" s="42">
        <f>'+605 seg'!$H$33</f>
        <v>3.0000000000000027E-3</v>
      </c>
      <c r="V109" s="49">
        <f>'+605 seg'!$I$33</f>
        <v>1.4142135623730963E-3</v>
      </c>
      <c r="W109" s="31"/>
      <c r="X109" s="45"/>
    </row>
    <row r="110" spans="2:24" ht="15.75" thickBot="1" x14ac:dyDescent="0.3">
      <c r="B110" s="39">
        <v>658</v>
      </c>
      <c r="C110" s="32">
        <f>'+658 seg'!$B$32</f>
        <v>1.0499999999999995E-2</v>
      </c>
      <c r="D110" s="46">
        <f>'+658 seg'!$C$32</f>
        <v>3.5355339059327229E-3</v>
      </c>
      <c r="E110" s="43">
        <f>'+658 seg'!$D$32</f>
        <v>5.4999999999999979E-3</v>
      </c>
      <c r="F110" s="50">
        <f>'+658 seg'!$E$32</f>
        <v>2.1213203435596541E-3</v>
      </c>
      <c r="G110" s="32">
        <f>'+658 seg'!$F$32</f>
        <v>1.1999999999999997E-2</v>
      </c>
      <c r="H110" s="46">
        <f>'+658 seg'!$G$32</f>
        <v>7.0710678118654805E-3</v>
      </c>
      <c r="I110" s="43">
        <f>'+658 seg'!$H$32</f>
        <v>4.9999999999999351E-4</v>
      </c>
      <c r="J110" s="50">
        <f>'+658 seg'!$I$32</f>
        <v>7.0710678118653841E-4</v>
      </c>
      <c r="K110" s="32"/>
      <c r="L110" s="46"/>
      <c r="M110" s="43"/>
      <c r="N110" s="50"/>
      <c r="O110" s="32">
        <f>'+658 seg'!$B$33</f>
        <v>1.4000000000000012E-2</v>
      </c>
      <c r="P110" s="46">
        <f>'+658 seg'!$C$33</f>
        <v>2.1213203435596444E-2</v>
      </c>
      <c r="Q110" s="43">
        <f>'+658 seg'!$D$33</f>
        <v>4.9999999999999975E-3</v>
      </c>
      <c r="R110" s="50">
        <f>'+658 seg'!$E$33</f>
        <v>1.131370849898476E-2</v>
      </c>
      <c r="S110" s="32">
        <f>'+658 seg'!$F$33</f>
        <v>2.5000000000000008E-2</v>
      </c>
      <c r="T110" s="46">
        <f>'+658 seg'!$G$33</f>
        <v>3.1112698372208095E-2</v>
      </c>
      <c r="U110" s="43">
        <f>'+658 seg'!$H$33</f>
        <v>3.0000000000000027E-3</v>
      </c>
      <c r="V110" s="50">
        <f>'+658 seg'!$I$33</f>
        <v>1.4142135623730963E-3</v>
      </c>
      <c r="W110" s="32"/>
      <c r="X110" s="4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>
      <selection activeCell="D27" sqref="D27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0.109</v>
      </c>
      <c r="C3">
        <v>9.2999999999999999E-2</v>
      </c>
      <c r="D3">
        <v>8.7999999999999995E-2</v>
      </c>
      <c r="E3">
        <v>9.7000000000000003E-2</v>
      </c>
      <c r="F3">
        <v>0.13400000000000001</v>
      </c>
      <c r="G3">
        <v>0.11700000000000001</v>
      </c>
      <c r="H3">
        <v>9.1999999999999998E-2</v>
      </c>
      <c r="I3">
        <v>6.8000000000000005E-2</v>
      </c>
      <c r="J3">
        <v>5.3999999999999999E-2</v>
      </c>
      <c r="K3">
        <v>6.3E-2</v>
      </c>
      <c r="L3">
        <v>0.12</v>
      </c>
      <c r="M3">
        <v>9.1999999999999998E-2</v>
      </c>
    </row>
    <row r="4" spans="1:13" x14ac:dyDescent="0.25">
      <c r="A4" t="s">
        <v>14</v>
      </c>
      <c r="B4">
        <v>0.129</v>
      </c>
      <c r="C4">
        <v>0.159</v>
      </c>
      <c r="D4">
        <v>9.0999999999999998E-2</v>
      </c>
      <c r="E4">
        <v>9.0999999999999998E-2</v>
      </c>
      <c r="F4">
        <v>0.152</v>
      </c>
      <c r="G4">
        <v>0.127</v>
      </c>
      <c r="H4">
        <v>0.105</v>
      </c>
      <c r="I4">
        <v>9.9000000000000005E-2</v>
      </c>
      <c r="J4">
        <v>6.4000000000000001E-2</v>
      </c>
      <c r="K4">
        <v>5.3999999999999999E-2</v>
      </c>
      <c r="L4">
        <v>9.4E-2</v>
      </c>
      <c r="M4">
        <v>0.111</v>
      </c>
    </row>
    <row r="5" spans="1:13" x14ac:dyDescent="0.25">
      <c r="A5" t="s">
        <v>15</v>
      </c>
      <c r="B5">
        <v>0.13200000000000001</v>
      </c>
      <c r="C5">
        <v>0.17899999999999999</v>
      </c>
      <c r="D5">
        <v>8.4000000000000005E-2</v>
      </c>
      <c r="E5">
        <v>8.1000000000000003E-2</v>
      </c>
      <c r="F5">
        <v>0.10299999999999999</v>
      </c>
      <c r="G5">
        <v>0.115</v>
      </c>
      <c r="H5">
        <v>0.08</v>
      </c>
      <c r="I5">
        <v>6.6000000000000003E-2</v>
      </c>
      <c r="J5">
        <v>9.4E-2</v>
      </c>
      <c r="K5">
        <v>0.11899999999999999</v>
      </c>
      <c r="L5">
        <v>0.114</v>
      </c>
      <c r="M5">
        <v>0.107</v>
      </c>
    </row>
    <row r="6" spans="1:13" x14ac:dyDescent="0.25">
      <c r="A6" t="s">
        <v>16</v>
      </c>
      <c r="B6">
        <v>0.16500000000000001</v>
      </c>
      <c r="C6">
        <v>0.19600000000000001</v>
      </c>
      <c r="D6">
        <v>0.107</v>
      </c>
      <c r="E6">
        <v>9.9000000000000005E-2</v>
      </c>
      <c r="F6">
        <v>0.127</v>
      </c>
      <c r="G6">
        <v>0.185</v>
      </c>
      <c r="H6">
        <v>8.4000000000000005E-2</v>
      </c>
      <c r="I6">
        <v>0.111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25">
      <c r="A7" t="s">
        <v>17</v>
      </c>
      <c r="B7">
        <v>0.128</v>
      </c>
      <c r="C7">
        <v>0.13500000000000001</v>
      </c>
      <c r="D7">
        <v>0.08</v>
      </c>
      <c r="E7">
        <v>8.4000000000000005E-2</v>
      </c>
      <c r="F7">
        <v>0.109</v>
      </c>
      <c r="G7">
        <v>0.1</v>
      </c>
      <c r="H7">
        <v>9.0999999999999998E-2</v>
      </c>
      <c r="I7">
        <v>8.4000000000000005E-2</v>
      </c>
      <c r="J7">
        <v>6.8000000000000005E-2</v>
      </c>
      <c r="K7">
        <v>6.9000000000000006E-2</v>
      </c>
      <c r="L7">
        <v>0.65900000000000003</v>
      </c>
      <c r="M7">
        <v>9.7000000000000003E-2</v>
      </c>
    </row>
    <row r="8" spans="1:13" x14ac:dyDescent="0.25">
      <c r="A8" t="s">
        <v>18</v>
      </c>
      <c r="B8">
        <v>0.108</v>
      </c>
      <c r="C8">
        <v>8.7999999999999995E-2</v>
      </c>
      <c r="D8">
        <v>0.08</v>
      </c>
      <c r="E8">
        <v>7.3999999999999996E-2</v>
      </c>
      <c r="F8">
        <v>9.6000000000000002E-2</v>
      </c>
      <c r="G8">
        <v>7.4999999999999997E-2</v>
      </c>
      <c r="H8">
        <v>7.6999999999999999E-2</v>
      </c>
      <c r="I8">
        <v>5.8999999999999997E-2</v>
      </c>
      <c r="J8">
        <v>0.05</v>
      </c>
      <c r="K8">
        <v>6.4000000000000001E-2</v>
      </c>
      <c r="L8">
        <v>0.375</v>
      </c>
      <c r="M8">
        <v>9.8000000000000004E-2</v>
      </c>
    </row>
    <row r="9" spans="1:13" x14ac:dyDescent="0.25">
      <c r="A9" t="s">
        <v>19</v>
      </c>
      <c r="B9">
        <v>0.14299999999999999</v>
      </c>
      <c r="C9">
        <v>0.158</v>
      </c>
      <c r="D9">
        <v>0.1</v>
      </c>
      <c r="E9">
        <v>0.10299999999999999</v>
      </c>
      <c r="F9">
        <v>0.113</v>
      </c>
      <c r="G9">
        <v>9.7000000000000003E-2</v>
      </c>
      <c r="H9">
        <v>6.9000000000000006E-2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</v>
      </c>
      <c r="C10">
        <v>0.182</v>
      </c>
      <c r="D10">
        <v>0.104</v>
      </c>
      <c r="E10">
        <v>0.11</v>
      </c>
      <c r="F10">
        <v>0.19900000000000001</v>
      </c>
      <c r="G10">
        <v>0.153</v>
      </c>
      <c r="H10">
        <v>9.5000000000000001E-2</v>
      </c>
      <c r="I10">
        <v>9.1999999999999998E-2</v>
      </c>
      <c r="J10">
        <v>9.6000000000000002E-2</v>
      </c>
      <c r="K10">
        <v>0.125</v>
      </c>
      <c r="L10">
        <v>0.125</v>
      </c>
      <c r="M10">
        <v>9.7000000000000003E-2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"/>
  <sheetViews>
    <sheetView workbookViewId="0">
      <selection activeCell="J30" sqref="J30"/>
    </sheetView>
  </sheetViews>
  <sheetFormatPr baseColWidth="10" defaultColWidth="8.85546875" defaultRowHeight="15" x14ac:dyDescent="0.25"/>
  <cols>
    <col min="2" max="2" width="10.42578125" customWidth="1"/>
    <col min="16" max="16" width="11.28515625" bestFit="1" customWidth="1"/>
    <col min="23" max="23" width="10.140625" customWidth="1"/>
    <col min="25" max="25" width="10.85546875" customWidth="1"/>
  </cols>
  <sheetData>
    <row r="1" spans="1:2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25">
      <c r="A3" t="s">
        <v>13</v>
      </c>
      <c r="B3" s="3">
        <v>9.8000000000000004E-2</v>
      </c>
      <c r="C3" s="3">
        <v>8.5000000000000006E-2</v>
      </c>
      <c r="D3" s="3">
        <v>7.2999999999999995E-2</v>
      </c>
      <c r="E3" s="3">
        <v>8.6999999999999994E-2</v>
      </c>
      <c r="F3" s="3">
        <v>0.14699999999999999</v>
      </c>
      <c r="G3" s="3">
        <v>0.115</v>
      </c>
      <c r="H3" s="3">
        <v>8.3000000000000004E-2</v>
      </c>
      <c r="I3" s="3">
        <v>6.0999999999999999E-2</v>
      </c>
      <c r="J3" s="3">
        <v>5.0999999999999997E-2</v>
      </c>
      <c r="K3" s="3">
        <v>5.1999999999999998E-2</v>
      </c>
      <c r="L3" s="3">
        <v>0.12</v>
      </c>
      <c r="M3" s="3">
        <v>9.1999999999999998E-2</v>
      </c>
    </row>
    <row r="4" spans="1:25" x14ac:dyDescent="0.25">
      <c r="A4" t="s">
        <v>14</v>
      </c>
      <c r="B4" s="3">
        <v>0.128</v>
      </c>
      <c r="C4" s="3">
        <v>0.14000000000000001</v>
      </c>
      <c r="D4" s="3">
        <v>7.5999999999999998E-2</v>
      </c>
      <c r="E4" s="3">
        <v>8.4000000000000005E-2</v>
      </c>
      <c r="F4" s="3">
        <v>0.14599999999999999</v>
      </c>
      <c r="G4" s="3">
        <v>0.127</v>
      </c>
      <c r="H4" s="3">
        <v>9.0999999999999998E-2</v>
      </c>
      <c r="I4" s="3">
        <v>9.1999999999999998E-2</v>
      </c>
      <c r="J4" s="3">
        <v>6.2E-2</v>
      </c>
      <c r="K4" s="3">
        <v>5.1999999999999998E-2</v>
      </c>
      <c r="L4" s="3">
        <v>9.4E-2</v>
      </c>
      <c r="M4" s="3">
        <v>0.111</v>
      </c>
    </row>
    <row r="5" spans="1:25" x14ac:dyDescent="0.25">
      <c r="A5" t="s">
        <v>15</v>
      </c>
      <c r="B5" s="3">
        <v>0.14099999999999999</v>
      </c>
      <c r="C5" s="3">
        <v>0.14199999999999999</v>
      </c>
      <c r="D5" s="3">
        <v>0.08</v>
      </c>
      <c r="E5" s="3">
        <v>0.08</v>
      </c>
      <c r="F5" s="3">
        <v>0.10100000000000001</v>
      </c>
      <c r="G5" s="3">
        <v>0.11600000000000001</v>
      </c>
      <c r="H5" s="3">
        <v>7.4999999999999997E-2</v>
      </c>
      <c r="I5" s="3">
        <v>6.9000000000000006E-2</v>
      </c>
      <c r="J5" s="3">
        <v>9.4E-2</v>
      </c>
      <c r="K5" s="3">
        <v>0.11799999999999999</v>
      </c>
      <c r="L5" s="3">
        <v>0.114</v>
      </c>
      <c r="M5" s="3">
        <v>0.107</v>
      </c>
    </row>
    <row r="6" spans="1:25" x14ac:dyDescent="0.25">
      <c r="A6" t="s">
        <v>16</v>
      </c>
      <c r="B6" s="3">
        <v>0.17100000000000001</v>
      </c>
      <c r="C6" s="3">
        <v>0.184</v>
      </c>
      <c r="D6" s="3">
        <v>8.2000000000000003E-2</v>
      </c>
      <c r="E6" s="3">
        <v>9.0999999999999998E-2</v>
      </c>
      <c r="F6" s="3">
        <v>0.11700000000000001</v>
      </c>
      <c r="G6" s="3">
        <v>0.19900000000000001</v>
      </c>
      <c r="H6" s="3">
        <v>6.8000000000000005E-2</v>
      </c>
      <c r="I6" s="3">
        <v>0.109</v>
      </c>
      <c r="J6" s="3">
        <v>8.3000000000000004E-2</v>
      </c>
      <c r="K6" s="3">
        <v>8.4000000000000005E-2</v>
      </c>
      <c r="L6" s="3">
        <v>0.10100000000000001</v>
      </c>
      <c r="M6" s="3">
        <v>9.7000000000000003E-2</v>
      </c>
    </row>
    <row r="7" spans="1:25" x14ac:dyDescent="0.25">
      <c r="A7" t="s">
        <v>17</v>
      </c>
      <c r="B7" s="3">
        <v>0.13400000000000001</v>
      </c>
      <c r="C7" s="3">
        <v>0.151</v>
      </c>
      <c r="D7" s="3">
        <v>0.08</v>
      </c>
      <c r="E7" s="3">
        <v>8.7999999999999995E-2</v>
      </c>
      <c r="F7" s="3">
        <v>0.112</v>
      </c>
      <c r="G7" s="3">
        <v>0.10299999999999999</v>
      </c>
      <c r="H7" s="3">
        <v>9.4E-2</v>
      </c>
      <c r="I7" s="3">
        <v>8.4000000000000005E-2</v>
      </c>
      <c r="J7" s="3">
        <v>6.9000000000000006E-2</v>
      </c>
      <c r="K7" s="3">
        <v>6.9000000000000006E-2</v>
      </c>
      <c r="L7" s="3">
        <v>0.64300000000000002</v>
      </c>
      <c r="M7" s="3">
        <v>9.7000000000000003E-2</v>
      </c>
    </row>
    <row r="8" spans="1:25" x14ac:dyDescent="0.25">
      <c r="A8" t="s">
        <v>18</v>
      </c>
      <c r="B8" s="3">
        <v>0.11600000000000001</v>
      </c>
      <c r="C8" s="3">
        <v>9.0999999999999998E-2</v>
      </c>
      <c r="D8" s="3">
        <v>7.9000000000000001E-2</v>
      </c>
      <c r="E8" s="3">
        <v>7.4999999999999997E-2</v>
      </c>
      <c r="F8" s="3">
        <v>9.6000000000000002E-2</v>
      </c>
      <c r="G8" s="3">
        <v>7.9000000000000001E-2</v>
      </c>
      <c r="H8" s="3">
        <v>7.5999999999999998E-2</v>
      </c>
      <c r="I8" s="3">
        <v>5.8999999999999997E-2</v>
      </c>
      <c r="J8" s="3">
        <v>5.0999999999999997E-2</v>
      </c>
      <c r="K8" s="3">
        <v>6.2E-2</v>
      </c>
      <c r="L8" s="3">
        <v>0.36899999999999999</v>
      </c>
      <c r="M8" s="3">
        <v>9.7000000000000003E-2</v>
      </c>
    </row>
    <row r="9" spans="1:25" x14ac:dyDescent="0.25">
      <c r="A9" t="s">
        <v>19</v>
      </c>
      <c r="B9" s="3">
        <v>0.151</v>
      </c>
      <c r="C9" s="3">
        <v>0.16200000000000001</v>
      </c>
      <c r="D9" s="3">
        <v>0.1</v>
      </c>
      <c r="E9" s="3">
        <v>0.105</v>
      </c>
      <c r="F9" s="3">
        <v>0.11600000000000001</v>
      </c>
      <c r="G9" s="3">
        <v>9.8000000000000004E-2</v>
      </c>
      <c r="H9" s="3">
        <v>7.0000000000000007E-2</v>
      </c>
      <c r="I9" s="3">
        <v>7.3999999999999996E-2</v>
      </c>
      <c r="J9" s="3">
        <v>0.11600000000000001</v>
      </c>
      <c r="K9" s="3">
        <v>0.114</v>
      </c>
      <c r="L9" s="3">
        <v>0.104</v>
      </c>
      <c r="M9" s="3">
        <v>0.13300000000000001</v>
      </c>
    </row>
    <row r="10" spans="1:25" x14ac:dyDescent="0.25">
      <c r="A10" t="s">
        <v>20</v>
      </c>
      <c r="B10" s="3">
        <v>0.219</v>
      </c>
      <c r="C10" s="3">
        <v>0.20499999999999999</v>
      </c>
      <c r="D10" s="3">
        <v>0.105</v>
      </c>
      <c r="E10" s="3">
        <v>0.112</v>
      </c>
      <c r="F10" s="3">
        <v>0.22600000000000001</v>
      </c>
      <c r="G10" s="3">
        <v>0.159</v>
      </c>
      <c r="H10" s="3">
        <v>9.7000000000000003E-2</v>
      </c>
      <c r="I10" s="3">
        <v>9.1999999999999998E-2</v>
      </c>
      <c r="J10" s="3">
        <v>9.6000000000000002E-2</v>
      </c>
      <c r="K10" s="3">
        <v>0.125</v>
      </c>
      <c r="L10" s="3">
        <v>0.125</v>
      </c>
      <c r="M10" s="3">
        <v>9.6000000000000002E-2</v>
      </c>
    </row>
    <row r="14" spans="1:25" x14ac:dyDescent="0.25">
      <c r="A1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  <c r="L14" s="4" t="s">
        <v>11</v>
      </c>
      <c r="M14" s="4" t="s">
        <v>12</v>
      </c>
    </row>
    <row r="15" spans="1:25" x14ac:dyDescent="0.25">
      <c r="A15" t="s">
        <v>13</v>
      </c>
      <c r="B15" s="5">
        <f xml:space="preserve"> B3 - B3</f>
        <v>0</v>
      </c>
      <c r="C15" s="5">
        <f t="shared" ref="C15:M15" si="0" xml:space="preserve"> C3 - C3</f>
        <v>0</v>
      </c>
      <c r="D15" s="5">
        <f t="shared" si="0"/>
        <v>0</v>
      </c>
      <c r="E15" s="5">
        <f t="shared" si="0"/>
        <v>0</v>
      </c>
      <c r="F15" s="5">
        <f t="shared" si="0"/>
        <v>0</v>
      </c>
      <c r="G15" s="5">
        <f t="shared" si="0"/>
        <v>0</v>
      </c>
      <c r="H15" s="5">
        <f t="shared" si="0"/>
        <v>0</v>
      </c>
      <c r="I15" s="5">
        <f t="shared" si="0"/>
        <v>0</v>
      </c>
      <c r="J15" s="5">
        <f t="shared" si="0"/>
        <v>0</v>
      </c>
      <c r="K15" s="5">
        <f t="shared" si="0"/>
        <v>0</v>
      </c>
      <c r="L15" s="5">
        <f t="shared" si="0"/>
        <v>0</v>
      </c>
      <c r="M15" s="5">
        <f t="shared" si="0"/>
        <v>0</v>
      </c>
      <c r="O15" s="3"/>
      <c r="Q15" s="3"/>
      <c r="S15" s="3"/>
      <c r="U15" s="3"/>
      <c r="W15" s="3"/>
      <c r="Y15" s="3"/>
    </row>
    <row r="16" spans="1:25" x14ac:dyDescent="0.25">
      <c r="A16" t="s">
        <v>14</v>
      </c>
      <c r="B16" s="5">
        <f t="shared" ref="B16:M16" si="1" xml:space="preserve"> B4 - B4</f>
        <v>0</v>
      </c>
      <c r="C16" s="5">
        <f t="shared" si="1"/>
        <v>0</v>
      </c>
      <c r="D16" s="5">
        <f t="shared" si="1"/>
        <v>0</v>
      </c>
      <c r="E16" s="5">
        <f t="shared" si="1"/>
        <v>0</v>
      </c>
      <c r="F16" s="5">
        <f t="shared" si="1"/>
        <v>0</v>
      </c>
      <c r="G16" s="5">
        <f t="shared" si="1"/>
        <v>0</v>
      </c>
      <c r="H16" s="5">
        <f t="shared" si="1"/>
        <v>0</v>
      </c>
      <c r="I16" s="5">
        <f t="shared" si="1"/>
        <v>0</v>
      </c>
      <c r="J16" s="5">
        <f t="shared" si="1"/>
        <v>0</v>
      </c>
      <c r="K16" s="5">
        <f t="shared" si="1"/>
        <v>0</v>
      </c>
      <c r="L16" s="5">
        <f t="shared" si="1"/>
        <v>0</v>
      </c>
      <c r="M16" s="5">
        <f t="shared" si="1"/>
        <v>0</v>
      </c>
      <c r="O16" s="3"/>
      <c r="Q16" s="3"/>
      <c r="S16" s="3"/>
      <c r="U16" s="3"/>
      <c r="W16" s="3"/>
      <c r="Y16" s="3"/>
    </row>
    <row r="17" spans="1:25" x14ac:dyDescent="0.25">
      <c r="A17" t="s">
        <v>15</v>
      </c>
      <c r="B17" s="5">
        <f t="shared" ref="B17:M17" si="2" xml:space="preserve"> B5 - B5</f>
        <v>0</v>
      </c>
      <c r="C17" s="5">
        <f t="shared" si="2"/>
        <v>0</v>
      </c>
      <c r="D17" s="5">
        <f t="shared" si="2"/>
        <v>0</v>
      </c>
      <c r="E17" s="5">
        <f t="shared" si="2"/>
        <v>0</v>
      </c>
      <c r="F17" s="5">
        <f t="shared" si="2"/>
        <v>0</v>
      </c>
      <c r="G17" s="5">
        <f t="shared" si="2"/>
        <v>0</v>
      </c>
      <c r="H17" s="5">
        <f t="shared" si="2"/>
        <v>0</v>
      </c>
      <c r="I17" s="5">
        <f t="shared" si="2"/>
        <v>0</v>
      </c>
      <c r="J17" s="5">
        <f t="shared" si="2"/>
        <v>0</v>
      </c>
      <c r="K17" s="5">
        <f t="shared" si="2"/>
        <v>0</v>
      </c>
      <c r="L17" s="5">
        <f t="shared" si="2"/>
        <v>0</v>
      </c>
      <c r="M17" s="5">
        <f t="shared" si="2"/>
        <v>0</v>
      </c>
      <c r="O17" s="3"/>
      <c r="Q17" s="3"/>
      <c r="S17" s="3"/>
      <c r="U17" s="3"/>
      <c r="W17" s="3"/>
      <c r="Y17" s="3"/>
    </row>
    <row r="18" spans="1:25" x14ac:dyDescent="0.25">
      <c r="A18" t="s">
        <v>16</v>
      </c>
      <c r="B18" s="5">
        <f t="shared" ref="B18:M18" si="3" xml:space="preserve"> B6 - B6</f>
        <v>0</v>
      </c>
      <c r="C18" s="5">
        <f t="shared" si="3"/>
        <v>0</v>
      </c>
      <c r="D18" s="5">
        <f t="shared" si="3"/>
        <v>0</v>
      </c>
      <c r="E18" s="5">
        <f t="shared" si="3"/>
        <v>0</v>
      </c>
      <c r="F18" s="5">
        <f t="shared" si="3"/>
        <v>0</v>
      </c>
      <c r="G18" s="5">
        <f t="shared" si="3"/>
        <v>0</v>
      </c>
      <c r="H18" s="5">
        <f t="shared" si="3"/>
        <v>0</v>
      </c>
      <c r="I18" s="5">
        <f t="shared" si="3"/>
        <v>0</v>
      </c>
      <c r="J18" s="5">
        <f t="shared" si="3"/>
        <v>0</v>
      </c>
      <c r="K18" s="5">
        <f t="shared" si="3"/>
        <v>0</v>
      </c>
      <c r="L18" s="5">
        <f t="shared" si="3"/>
        <v>0</v>
      </c>
      <c r="M18" s="5">
        <f t="shared" si="3"/>
        <v>0</v>
      </c>
      <c r="O18" s="3"/>
      <c r="Q18" s="3"/>
      <c r="S18" s="3"/>
      <c r="U18" s="3"/>
      <c r="W18" s="3"/>
      <c r="Y18" s="3"/>
    </row>
    <row r="19" spans="1:25" x14ac:dyDescent="0.25">
      <c r="A19" t="s">
        <v>17</v>
      </c>
      <c r="B19" s="5">
        <f t="shared" ref="B19:M19" si="4" xml:space="preserve"> B7 - B7</f>
        <v>0</v>
      </c>
      <c r="C19" s="5">
        <f t="shared" si="4"/>
        <v>0</v>
      </c>
      <c r="D19" s="5">
        <f t="shared" si="4"/>
        <v>0</v>
      </c>
      <c r="E19" s="5">
        <f t="shared" si="4"/>
        <v>0</v>
      </c>
      <c r="F19" s="5">
        <f t="shared" si="4"/>
        <v>0</v>
      </c>
      <c r="G19" s="5">
        <f t="shared" si="4"/>
        <v>0</v>
      </c>
      <c r="H19" s="5">
        <f t="shared" si="4"/>
        <v>0</v>
      </c>
      <c r="I19" s="5">
        <f t="shared" si="4"/>
        <v>0</v>
      </c>
      <c r="J19" s="5">
        <f t="shared" si="4"/>
        <v>0</v>
      </c>
      <c r="K19" s="5">
        <f t="shared" si="4"/>
        <v>0</v>
      </c>
      <c r="L19" s="5">
        <f t="shared" si="4"/>
        <v>0</v>
      </c>
      <c r="M19" s="5">
        <f t="shared" si="4"/>
        <v>0</v>
      </c>
      <c r="O19" s="3"/>
      <c r="Q19" s="3"/>
      <c r="S19" s="3"/>
      <c r="U19" s="3"/>
      <c r="W19" s="3"/>
      <c r="Y19" s="3"/>
    </row>
    <row r="20" spans="1:25" x14ac:dyDescent="0.25">
      <c r="A20" t="s">
        <v>18</v>
      </c>
      <c r="B20" s="5">
        <f t="shared" ref="B20:M20" si="5" xml:space="preserve"> B8 - B8</f>
        <v>0</v>
      </c>
      <c r="C20" s="5">
        <f t="shared" si="5"/>
        <v>0</v>
      </c>
      <c r="D20" s="5">
        <f t="shared" si="5"/>
        <v>0</v>
      </c>
      <c r="E20" s="5">
        <f t="shared" si="5"/>
        <v>0</v>
      </c>
      <c r="F20" s="5">
        <f t="shared" si="5"/>
        <v>0</v>
      </c>
      <c r="G20" s="5">
        <f t="shared" si="5"/>
        <v>0</v>
      </c>
      <c r="H20" s="5">
        <f t="shared" si="5"/>
        <v>0</v>
      </c>
      <c r="I20" s="5">
        <f t="shared" si="5"/>
        <v>0</v>
      </c>
      <c r="J20" s="5">
        <f t="shared" si="5"/>
        <v>0</v>
      </c>
      <c r="K20" s="5">
        <f t="shared" si="5"/>
        <v>0</v>
      </c>
      <c r="L20" s="5">
        <f t="shared" si="5"/>
        <v>0</v>
      </c>
      <c r="M20" s="5">
        <f t="shared" si="5"/>
        <v>0</v>
      </c>
      <c r="O20" s="3"/>
      <c r="Q20" s="3"/>
      <c r="S20" s="3"/>
      <c r="U20" s="3"/>
      <c r="W20" s="3"/>
      <c r="Y20" s="3"/>
    </row>
    <row r="21" spans="1:25" x14ac:dyDescent="0.25">
      <c r="A21" t="s">
        <v>19</v>
      </c>
      <c r="B21" s="5">
        <f t="shared" ref="B21:M21" si="6" xml:space="preserve"> B9 - B9</f>
        <v>0</v>
      </c>
      <c r="C21" s="5">
        <f t="shared" si="6"/>
        <v>0</v>
      </c>
      <c r="D21" s="5">
        <f t="shared" si="6"/>
        <v>0</v>
      </c>
      <c r="E21" s="5">
        <f t="shared" si="6"/>
        <v>0</v>
      </c>
      <c r="F21" s="5">
        <f t="shared" si="6"/>
        <v>0</v>
      </c>
      <c r="G21" s="5">
        <f t="shared" si="6"/>
        <v>0</v>
      </c>
      <c r="H21" s="5">
        <f t="shared" si="6"/>
        <v>0</v>
      </c>
      <c r="I21" s="5">
        <f t="shared" si="6"/>
        <v>0</v>
      </c>
      <c r="J21" s="5">
        <f t="shared" si="6"/>
        <v>0</v>
      </c>
      <c r="K21" s="5">
        <f t="shared" si="6"/>
        <v>0</v>
      </c>
      <c r="L21" s="5">
        <f t="shared" si="6"/>
        <v>0</v>
      </c>
      <c r="M21" s="5">
        <f t="shared" si="6"/>
        <v>0</v>
      </c>
      <c r="O21" s="3"/>
      <c r="Q21" s="3"/>
      <c r="S21" s="3"/>
      <c r="U21" s="3"/>
      <c r="W21" s="3"/>
      <c r="Y21" s="3"/>
    </row>
    <row r="22" spans="1:25" x14ac:dyDescent="0.25">
      <c r="A22" t="s">
        <v>20</v>
      </c>
      <c r="B22" s="5">
        <f t="shared" ref="B22:M22" si="7" xml:space="preserve"> B10 - B10</f>
        <v>0</v>
      </c>
      <c r="C22" s="5">
        <f t="shared" si="7"/>
        <v>0</v>
      </c>
      <c r="D22" s="5">
        <f t="shared" si="7"/>
        <v>0</v>
      </c>
      <c r="E22" s="5">
        <f t="shared" si="7"/>
        <v>0</v>
      </c>
      <c r="F22" s="5">
        <f t="shared" si="7"/>
        <v>0</v>
      </c>
      <c r="G22" s="5">
        <f t="shared" si="7"/>
        <v>0</v>
      </c>
      <c r="H22" s="5">
        <f t="shared" si="7"/>
        <v>0</v>
      </c>
      <c r="I22" s="5">
        <f t="shared" si="7"/>
        <v>0</v>
      </c>
      <c r="J22" s="5">
        <f t="shared" si="7"/>
        <v>0</v>
      </c>
      <c r="K22" s="5">
        <f t="shared" si="7"/>
        <v>0</v>
      </c>
      <c r="L22" s="5">
        <f t="shared" si="7"/>
        <v>0</v>
      </c>
      <c r="M22" s="5">
        <f t="shared" si="7"/>
        <v>0</v>
      </c>
      <c r="O22" s="3"/>
      <c r="Q22" s="3"/>
      <c r="S22" s="3"/>
      <c r="U22" s="3"/>
      <c r="W22" s="3"/>
      <c r="Y22" s="3"/>
    </row>
    <row r="25" spans="1:25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25" x14ac:dyDescent="0.25">
      <c r="A26" t="s">
        <v>13</v>
      </c>
      <c r="B26" s="3">
        <f>AVERAGE(B15:C15)</f>
        <v>0</v>
      </c>
      <c r="C26" s="3">
        <f>STDEV(B15:C15)</f>
        <v>0</v>
      </c>
      <c r="D26" s="3">
        <f t="shared" ref="D26:H33" si="8">AVERAGE(D15:E15)</f>
        <v>0</v>
      </c>
      <c r="E26" s="3">
        <f>STDEV(D15:E15)</f>
        <v>0</v>
      </c>
      <c r="F26" s="3">
        <f t="shared" si="8"/>
        <v>0</v>
      </c>
      <c r="G26" s="3">
        <f>STDEV(F15:G15)</f>
        <v>0</v>
      </c>
      <c r="H26" s="3">
        <f t="shared" si="8"/>
        <v>0</v>
      </c>
      <c r="I26" s="3">
        <f>STDEV(H15:I15)</f>
        <v>0</v>
      </c>
      <c r="J26" s="3">
        <f>AVERAGE(J15:J16)</f>
        <v>0</v>
      </c>
      <c r="K26" s="3">
        <f>STDEV(J15:J16)</f>
        <v>0</v>
      </c>
      <c r="L26" s="3">
        <f>AVERAGE(K15:K16)</f>
        <v>0</v>
      </c>
      <c r="M26" s="3">
        <f>STDEV(K15:K16)</f>
        <v>0</v>
      </c>
    </row>
    <row r="27" spans="1:25" x14ac:dyDescent="0.25">
      <c r="A27" t="s">
        <v>14</v>
      </c>
      <c r="B27" s="3">
        <f t="shared" ref="B27:B33" si="9">AVERAGE(B16:C16)</f>
        <v>0</v>
      </c>
      <c r="C27" s="3">
        <f t="shared" ref="C27:E33" si="10">STDEV(B16:C16)</f>
        <v>0</v>
      </c>
      <c r="D27" s="3">
        <f t="shared" si="8"/>
        <v>0</v>
      </c>
      <c r="E27" s="3">
        <f t="shared" si="10"/>
        <v>0</v>
      </c>
      <c r="F27" s="3">
        <f t="shared" si="8"/>
        <v>0</v>
      </c>
      <c r="G27" s="3">
        <f t="shared" ref="G27:G33" si="11">STDEV(F16:G16)</f>
        <v>0</v>
      </c>
      <c r="H27" s="3">
        <f t="shared" si="8"/>
        <v>0</v>
      </c>
      <c r="I27" s="3">
        <f t="shared" ref="I27:I33" si="12">STDEV(H16:I16)</f>
        <v>0</v>
      </c>
      <c r="L27" s="3"/>
      <c r="M27" s="3"/>
    </row>
    <row r="28" spans="1:25" x14ac:dyDescent="0.25">
      <c r="A28" t="s">
        <v>15</v>
      </c>
      <c r="B28" s="3">
        <f t="shared" si="9"/>
        <v>0</v>
      </c>
      <c r="C28" s="3">
        <f t="shared" si="10"/>
        <v>0</v>
      </c>
      <c r="D28" s="3">
        <f t="shared" si="8"/>
        <v>0</v>
      </c>
      <c r="E28" s="3">
        <f t="shared" si="10"/>
        <v>0</v>
      </c>
      <c r="F28" s="3">
        <f t="shared" si="8"/>
        <v>0</v>
      </c>
      <c r="G28" s="3">
        <f t="shared" si="11"/>
        <v>0</v>
      </c>
      <c r="H28" s="3">
        <f t="shared" si="8"/>
        <v>0</v>
      </c>
      <c r="I28" s="3">
        <f t="shared" si="12"/>
        <v>0</v>
      </c>
      <c r="J28" s="3"/>
      <c r="K28" s="3"/>
      <c r="L28" s="3"/>
      <c r="M28" s="3"/>
    </row>
    <row r="29" spans="1:25" x14ac:dyDescent="0.25">
      <c r="A29" t="s">
        <v>16</v>
      </c>
      <c r="B29" s="3">
        <f t="shared" si="9"/>
        <v>0</v>
      </c>
      <c r="C29" s="3">
        <f t="shared" si="10"/>
        <v>0</v>
      </c>
      <c r="D29" s="3">
        <f t="shared" si="8"/>
        <v>0</v>
      </c>
      <c r="E29" s="3">
        <f t="shared" si="10"/>
        <v>0</v>
      </c>
      <c r="F29" s="3">
        <f t="shared" si="8"/>
        <v>0</v>
      </c>
      <c r="G29" s="3">
        <f t="shared" si="11"/>
        <v>0</v>
      </c>
      <c r="H29" s="3">
        <f t="shared" si="8"/>
        <v>0</v>
      </c>
      <c r="I29" s="3">
        <f t="shared" si="12"/>
        <v>0</v>
      </c>
      <c r="J29" s="3"/>
      <c r="K29" s="3"/>
      <c r="L29" s="3"/>
      <c r="M29" s="3"/>
    </row>
    <row r="30" spans="1:25" x14ac:dyDescent="0.25">
      <c r="A30" t="s">
        <v>17</v>
      </c>
      <c r="B30" s="3">
        <f t="shared" si="9"/>
        <v>0</v>
      </c>
      <c r="C30" s="3">
        <f t="shared" si="10"/>
        <v>0</v>
      </c>
      <c r="D30" s="3">
        <f t="shared" si="8"/>
        <v>0</v>
      </c>
      <c r="E30" s="3">
        <f t="shared" si="10"/>
        <v>0</v>
      </c>
      <c r="F30" s="3">
        <f t="shared" si="8"/>
        <v>0</v>
      </c>
      <c r="G30" s="3">
        <f t="shared" si="11"/>
        <v>0</v>
      </c>
      <c r="H30" s="3">
        <f t="shared" si="8"/>
        <v>0</v>
      </c>
      <c r="I30" s="3">
        <f t="shared" si="12"/>
        <v>0</v>
      </c>
      <c r="J30" s="3">
        <f>AVERAGE(J19:J20)</f>
        <v>0</v>
      </c>
      <c r="K30" s="3">
        <f>STDEV(J19:J20)</f>
        <v>0</v>
      </c>
      <c r="L30" s="3">
        <f>AVERAGE(K19:K20)</f>
        <v>0</v>
      </c>
      <c r="M30" s="3">
        <f>STDEV(K19:K20)</f>
        <v>0</v>
      </c>
    </row>
    <row r="31" spans="1:25" x14ac:dyDescent="0.25">
      <c r="A31" t="s">
        <v>18</v>
      </c>
      <c r="B31" s="3">
        <f t="shared" si="9"/>
        <v>0</v>
      </c>
      <c r="C31" s="3">
        <f t="shared" si="10"/>
        <v>0</v>
      </c>
      <c r="D31" s="3">
        <f t="shared" si="8"/>
        <v>0</v>
      </c>
      <c r="E31" s="3">
        <f t="shared" si="10"/>
        <v>0</v>
      </c>
      <c r="F31" s="3">
        <f t="shared" si="8"/>
        <v>0</v>
      </c>
      <c r="G31" s="3">
        <f t="shared" si="11"/>
        <v>0</v>
      </c>
      <c r="H31" s="3">
        <f t="shared" si="8"/>
        <v>0</v>
      </c>
      <c r="I31" s="3">
        <f t="shared" si="12"/>
        <v>0</v>
      </c>
      <c r="L31" s="3"/>
      <c r="M31" s="3"/>
    </row>
    <row r="32" spans="1:25" x14ac:dyDescent="0.25">
      <c r="A32" t="s">
        <v>19</v>
      </c>
      <c r="B32" s="3">
        <f t="shared" si="9"/>
        <v>0</v>
      </c>
      <c r="C32" s="3">
        <f t="shared" si="10"/>
        <v>0</v>
      </c>
      <c r="D32" s="3">
        <f t="shared" si="8"/>
        <v>0</v>
      </c>
      <c r="E32" s="3">
        <f t="shared" si="10"/>
        <v>0</v>
      </c>
      <c r="F32" s="3">
        <f t="shared" si="8"/>
        <v>0</v>
      </c>
      <c r="G32" s="3">
        <f t="shared" si="11"/>
        <v>0</v>
      </c>
      <c r="H32" s="3">
        <f t="shared" si="8"/>
        <v>0</v>
      </c>
      <c r="I32" s="3">
        <f t="shared" si="12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9"/>
        <v>0</v>
      </c>
      <c r="C33" s="3">
        <f t="shared" si="10"/>
        <v>0</v>
      </c>
      <c r="D33" s="3">
        <f t="shared" si="8"/>
        <v>0</v>
      </c>
      <c r="E33" s="3">
        <f t="shared" si="10"/>
        <v>0</v>
      </c>
      <c r="F33" s="3">
        <f t="shared" si="8"/>
        <v>0</v>
      </c>
      <c r="G33" s="3">
        <f t="shared" si="11"/>
        <v>0</v>
      </c>
      <c r="H33" s="3">
        <f t="shared" si="8"/>
        <v>0</v>
      </c>
      <c r="I33" s="3">
        <f t="shared" si="12"/>
        <v>0</v>
      </c>
      <c r="J33" s="3"/>
      <c r="K33" s="3"/>
      <c r="L33" s="3"/>
      <c r="M33" s="3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3"/>
  <sheetViews>
    <sheetView workbookViewId="0">
      <selection activeCell="L26" sqref="L26"/>
    </sheetView>
  </sheetViews>
  <sheetFormatPr baseColWidth="10" defaultColWidth="8.85546875" defaultRowHeight="15" x14ac:dyDescent="0.25"/>
  <sheetData>
    <row r="1" spans="1:2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25">
      <c r="A3" t="s">
        <v>13</v>
      </c>
      <c r="B3">
        <v>9.9000000000000005E-2</v>
      </c>
      <c r="C3">
        <v>8.5000000000000006E-2</v>
      </c>
      <c r="D3">
        <v>7.3999999999999996E-2</v>
      </c>
      <c r="E3">
        <v>8.5000000000000006E-2</v>
      </c>
      <c r="F3">
        <v>0.14599999999999999</v>
      </c>
      <c r="G3">
        <v>0.115</v>
      </c>
      <c r="H3">
        <v>8.2000000000000003E-2</v>
      </c>
      <c r="I3">
        <v>0.06</v>
      </c>
      <c r="J3">
        <v>0.05</v>
      </c>
      <c r="K3">
        <v>0.05</v>
      </c>
      <c r="L3">
        <v>0.12</v>
      </c>
      <c r="M3">
        <v>9.1999999999999998E-2</v>
      </c>
    </row>
    <row r="4" spans="1:25" x14ac:dyDescent="0.25">
      <c r="A4" t="s">
        <v>14</v>
      </c>
      <c r="B4">
        <v>0.128</v>
      </c>
      <c r="C4">
        <v>0.14000000000000001</v>
      </c>
      <c r="D4">
        <v>7.8E-2</v>
      </c>
      <c r="E4">
        <v>9.0999999999999998E-2</v>
      </c>
      <c r="F4">
        <v>0.14799999999999999</v>
      </c>
      <c r="G4">
        <v>0.129</v>
      </c>
      <c r="H4">
        <v>9.1999999999999998E-2</v>
      </c>
      <c r="I4">
        <v>9.4E-2</v>
      </c>
      <c r="J4">
        <v>6.2E-2</v>
      </c>
      <c r="K4">
        <v>5.1999999999999998E-2</v>
      </c>
      <c r="L4">
        <v>9.2999999999999999E-2</v>
      </c>
      <c r="M4">
        <v>0.111</v>
      </c>
    </row>
    <row r="5" spans="1:25" x14ac:dyDescent="0.25">
      <c r="A5" t="s">
        <v>15</v>
      </c>
      <c r="B5">
        <v>0.14099999999999999</v>
      </c>
      <c r="C5">
        <v>0.14399999999999999</v>
      </c>
      <c r="D5">
        <v>8.2000000000000003E-2</v>
      </c>
      <c r="E5">
        <v>7.9000000000000001E-2</v>
      </c>
      <c r="F5">
        <v>0.10100000000000001</v>
      </c>
      <c r="G5">
        <v>0.113</v>
      </c>
      <c r="H5">
        <v>7.5999999999999998E-2</v>
      </c>
      <c r="I5">
        <v>6.7000000000000004E-2</v>
      </c>
      <c r="J5">
        <v>9.4E-2</v>
      </c>
      <c r="K5">
        <v>0.11799999999999999</v>
      </c>
      <c r="L5">
        <v>0.114</v>
      </c>
      <c r="M5">
        <v>0.107</v>
      </c>
    </row>
    <row r="6" spans="1:25" x14ac:dyDescent="0.25">
      <c r="A6" t="s">
        <v>16</v>
      </c>
      <c r="B6">
        <v>0.17199999999999999</v>
      </c>
      <c r="C6">
        <v>0.185</v>
      </c>
      <c r="D6">
        <v>8.3000000000000004E-2</v>
      </c>
      <c r="E6">
        <v>9.0999999999999998E-2</v>
      </c>
      <c r="F6">
        <v>0.11799999999999999</v>
      </c>
      <c r="G6">
        <v>0.20300000000000001</v>
      </c>
      <c r="H6">
        <v>7.0999999999999994E-2</v>
      </c>
      <c r="I6">
        <v>0.107</v>
      </c>
      <c r="J6">
        <v>8.4000000000000005E-2</v>
      </c>
      <c r="K6">
        <v>8.4000000000000005E-2</v>
      </c>
      <c r="L6">
        <v>0.10100000000000001</v>
      </c>
      <c r="M6">
        <v>9.7000000000000003E-2</v>
      </c>
    </row>
    <row r="7" spans="1:25" x14ac:dyDescent="0.25">
      <c r="A7" t="s">
        <v>17</v>
      </c>
      <c r="B7">
        <v>0.13600000000000001</v>
      </c>
      <c r="C7">
        <v>0.14799999999999999</v>
      </c>
      <c r="D7">
        <v>8.1000000000000003E-2</v>
      </c>
      <c r="E7">
        <v>8.7999999999999995E-2</v>
      </c>
      <c r="F7">
        <v>0.113</v>
      </c>
      <c r="G7">
        <v>0.105</v>
      </c>
      <c r="H7">
        <v>9.4E-2</v>
      </c>
      <c r="I7">
        <v>8.3000000000000004E-2</v>
      </c>
      <c r="J7">
        <v>6.9000000000000006E-2</v>
      </c>
      <c r="K7">
        <v>6.9000000000000006E-2</v>
      </c>
      <c r="L7">
        <v>0.64900000000000002</v>
      </c>
      <c r="M7">
        <v>9.7000000000000003E-2</v>
      </c>
    </row>
    <row r="8" spans="1:25" x14ac:dyDescent="0.25">
      <c r="A8" t="s">
        <v>18</v>
      </c>
      <c r="B8">
        <v>0.121</v>
      </c>
      <c r="C8">
        <v>8.8999999999999996E-2</v>
      </c>
      <c r="D8">
        <v>7.8E-2</v>
      </c>
      <c r="E8">
        <v>7.4999999999999997E-2</v>
      </c>
      <c r="F8">
        <v>9.8000000000000004E-2</v>
      </c>
      <c r="G8">
        <v>7.9000000000000001E-2</v>
      </c>
      <c r="H8">
        <v>7.5999999999999998E-2</v>
      </c>
      <c r="I8">
        <v>5.8999999999999997E-2</v>
      </c>
      <c r="J8">
        <v>0.05</v>
      </c>
      <c r="K8">
        <v>6.2E-2</v>
      </c>
      <c r="L8">
        <v>0.37</v>
      </c>
      <c r="M8">
        <v>9.8000000000000004E-2</v>
      </c>
    </row>
    <row r="9" spans="1:25" x14ac:dyDescent="0.25">
      <c r="A9" t="s">
        <v>19</v>
      </c>
      <c r="B9">
        <v>0.153</v>
      </c>
      <c r="C9">
        <v>0.16300000000000001</v>
      </c>
      <c r="D9">
        <v>0.10100000000000001</v>
      </c>
      <c r="E9">
        <v>0.106</v>
      </c>
      <c r="F9">
        <v>0.11700000000000001</v>
      </c>
      <c r="G9">
        <v>9.9000000000000005E-2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25" x14ac:dyDescent="0.25">
      <c r="A10" t="s">
        <v>20</v>
      </c>
      <c r="B10">
        <v>0.221</v>
      </c>
      <c r="C10">
        <v>0.218</v>
      </c>
      <c r="D10">
        <v>0.105</v>
      </c>
      <c r="E10">
        <v>0.111</v>
      </c>
      <c r="F10">
        <v>0.23100000000000001</v>
      </c>
      <c r="G10">
        <v>0.159</v>
      </c>
      <c r="H10">
        <v>9.7000000000000003E-2</v>
      </c>
      <c r="I10">
        <v>9.1999999999999998E-2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25" x14ac:dyDescent="0.25">
      <c r="A15" t="s">
        <v>13</v>
      </c>
      <c r="B15" s="3">
        <f xml:space="preserve"> B3 - '+0 seg'!$B$3</f>
        <v>1.0000000000000009E-3</v>
      </c>
      <c r="C15" s="3">
        <f xml:space="preserve"> C3 - '+0 seg'!$C$3</f>
        <v>0</v>
      </c>
      <c r="D15" s="3">
        <f xml:space="preserve"> D3 - '+0 seg'!$D$3</f>
        <v>1.0000000000000009E-3</v>
      </c>
      <c r="E15" s="3">
        <f xml:space="preserve"> E3 - '+0 seg'!$E$3</f>
        <v>-1.9999999999999879E-3</v>
      </c>
      <c r="F15" s="3">
        <f xml:space="preserve"> F3 - '+0 seg'!$F$3</f>
        <v>-1.0000000000000009E-3</v>
      </c>
      <c r="G15" s="3">
        <f xml:space="preserve"> G3 - '+0 seg'!$G$3</f>
        <v>0</v>
      </c>
      <c r="H15" s="3">
        <f xml:space="preserve"> H3 - '+0 seg'!$H$3</f>
        <v>-1.0000000000000009E-3</v>
      </c>
      <c r="I15" s="3">
        <f xml:space="preserve"> I3 - '+0 seg'!$I$3</f>
        <v>-1.0000000000000009E-3</v>
      </c>
      <c r="J15" s="3">
        <f xml:space="preserve"> J3 - '+0 seg'!$J$3</f>
        <v>-9.9999999999999395E-4</v>
      </c>
      <c r="K15" s="3">
        <f xml:space="preserve"> K3 - '+0 seg'!$K$3</f>
        <v>-1.9999999999999948E-3</v>
      </c>
      <c r="L15" s="3">
        <f xml:space="preserve"> L3 - '+0 seg'!$L$3</f>
        <v>0</v>
      </c>
      <c r="M15" s="3">
        <f xml:space="preserve"> M3 - '+0 seg'!$M$3</f>
        <v>0</v>
      </c>
      <c r="N15" s="2"/>
      <c r="O15" s="3"/>
      <c r="Q15" s="3"/>
      <c r="S15" s="3"/>
      <c r="U15" s="3"/>
      <c r="W15" s="3"/>
      <c r="Y15" s="3"/>
    </row>
    <row r="16" spans="1:25" x14ac:dyDescent="0.25">
      <c r="A16" t="s">
        <v>14</v>
      </c>
      <c r="B16" s="3">
        <f xml:space="preserve"> B4 - '+0 seg'!$B$4</f>
        <v>0</v>
      </c>
      <c r="C16" s="3">
        <f xml:space="preserve"> C4 - '+0 seg'!$C$4</f>
        <v>0</v>
      </c>
      <c r="D16" s="3">
        <f xml:space="preserve"> D4 - '+0 seg'!$D$4</f>
        <v>2.0000000000000018E-3</v>
      </c>
      <c r="E16" s="3">
        <f xml:space="preserve"> E4 - '+0 seg'!$E$4</f>
        <v>6.9999999999999923E-3</v>
      </c>
      <c r="F16" s="3">
        <f xml:space="preserve"> F4 - '+0 seg'!$F$4</f>
        <v>2.0000000000000018E-3</v>
      </c>
      <c r="G16" s="3">
        <f xml:space="preserve"> G4 - '+0 seg'!$G$4</f>
        <v>2.0000000000000018E-3</v>
      </c>
      <c r="H16" s="3">
        <f xml:space="preserve"> H4 - '+0 seg'!$H$4</f>
        <v>1.0000000000000009E-3</v>
      </c>
      <c r="I16" s="3">
        <f xml:space="preserve"> I4 - '+0 seg'!$I$4</f>
        <v>2.0000000000000018E-3</v>
      </c>
      <c r="J16" s="3">
        <f xml:space="preserve"> J4 - '+0 seg'!$J$4</f>
        <v>0</v>
      </c>
      <c r="K16" s="3">
        <f xml:space="preserve"> K4 - '+0 seg'!$K$4</f>
        <v>0</v>
      </c>
      <c r="L16" s="3">
        <f xml:space="preserve"> L4 - '+0 seg'!$L$4</f>
        <v>-1.0000000000000009E-3</v>
      </c>
      <c r="M16" s="3">
        <f xml:space="preserve"> M4 - '+0 seg'!$M$4</f>
        <v>0</v>
      </c>
      <c r="O16" s="3"/>
      <c r="Q16" s="3"/>
      <c r="S16" s="3"/>
      <c r="U16" s="3"/>
      <c r="W16" s="3"/>
      <c r="Y16" s="3"/>
    </row>
    <row r="17" spans="1:25" x14ac:dyDescent="0.25">
      <c r="A17" t="s">
        <v>15</v>
      </c>
      <c r="B17" s="3">
        <f xml:space="preserve"> B5 - '+0 seg'!$B$5</f>
        <v>0</v>
      </c>
      <c r="C17" s="3">
        <f xml:space="preserve"> C5 - '+0 seg'!$C$5</f>
        <v>2.0000000000000018E-3</v>
      </c>
      <c r="D17" s="3">
        <f xml:space="preserve"> D5 - '+0 seg'!$D$5</f>
        <v>2.0000000000000018E-3</v>
      </c>
      <c r="E17" s="3">
        <f xml:space="preserve"> E5 - '+0 seg'!$E$5</f>
        <v>-1.0000000000000009E-3</v>
      </c>
      <c r="F17" s="3">
        <f xml:space="preserve"> F5 - '+0 seg'!$F$5</f>
        <v>0</v>
      </c>
      <c r="G17" s="3">
        <f xml:space="preserve"> G5 - '+0 seg'!$G$5</f>
        <v>-3.0000000000000027E-3</v>
      </c>
      <c r="H17" s="3">
        <f xml:space="preserve"> H5 - '+0 seg'!$H$5</f>
        <v>1.0000000000000009E-3</v>
      </c>
      <c r="I17" s="3">
        <f xml:space="preserve"> I5 - '+0 seg'!$I$5</f>
        <v>-2.0000000000000018E-3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  <c r="O17" s="3"/>
      <c r="Q17" s="3"/>
      <c r="S17" s="3"/>
      <c r="U17" s="3"/>
      <c r="W17" s="3"/>
      <c r="Y17" s="3"/>
    </row>
    <row r="18" spans="1:25" x14ac:dyDescent="0.25">
      <c r="A18" t="s">
        <v>16</v>
      </c>
      <c r="B18" s="3">
        <f xml:space="preserve"> B6 - '+0 seg'!$B$6</f>
        <v>9.9999999999997313E-4</v>
      </c>
      <c r="C18" s="3">
        <f xml:space="preserve"> C6 - '+0 seg'!$C$6</f>
        <v>1.0000000000000009E-3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9.9999999999998701E-4</v>
      </c>
      <c r="G18" s="3">
        <f xml:space="preserve"> G6 - '+0 seg'!$G$6</f>
        <v>4.0000000000000036E-3</v>
      </c>
      <c r="H18" s="3">
        <f xml:space="preserve"> H6 - '+0 seg'!$H$6</f>
        <v>2.9999999999999888E-3</v>
      </c>
      <c r="I18" s="3">
        <f xml:space="preserve"> I6 - '+0 seg'!$I$6</f>
        <v>-2.0000000000000018E-3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  <c r="O18" s="3"/>
      <c r="Q18" s="3"/>
      <c r="S18" s="3"/>
      <c r="U18" s="3"/>
      <c r="W18" s="3"/>
      <c r="Y18" s="3"/>
    </row>
    <row r="19" spans="1:25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-3.0000000000000027E-3</v>
      </c>
      <c r="D19" s="3">
        <f xml:space="preserve"> D7 - '+0 seg'!$D$7</f>
        <v>1.0000000000000009E-3</v>
      </c>
      <c r="E19" s="3">
        <f xml:space="preserve"> E7 - '+0 seg'!$E$7</f>
        <v>0</v>
      </c>
      <c r="F19" s="3">
        <f xml:space="preserve"> F7 - '+0 seg'!$F$7</f>
        <v>1.0000000000000009E-3</v>
      </c>
      <c r="G19" s="3">
        <f xml:space="preserve"> G7 - '+0 seg'!$G$7</f>
        <v>2.0000000000000018E-3</v>
      </c>
      <c r="H19" s="3">
        <f xml:space="preserve"> H7 - '+0 seg'!$H$7</f>
        <v>0</v>
      </c>
      <c r="I19" s="3">
        <f xml:space="preserve"> I7 - '+0 seg'!$I$7</f>
        <v>-1.0000000000000009E-3</v>
      </c>
      <c r="J19" s="3">
        <f xml:space="preserve"> J7 - '+0 seg'!$J$7</f>
        <v>0</v>
      </c>
      <c r="K19" s="3">
        <f xml:space="preserve"> K7 - '+0 seg'!$K$7</f>
        <v>0</v>
      </c>
      <c r="L19" s="3">
        <f xml:space="preserve"> L7 - '+0 seg'!$L$7</f>
        <v>6.0000000000000053E-3</v>
      </c>
      <c r="M19" s="3">
        <f xml:space="preserve"> M7 - '+0 seg'!$M$7</f>
        <v>0</v>
      </c>
      <c r="O19" s="3"/>
      <c r="Q19" s="3"/>
      <c r="S19" s="3"/>
      <c r="U19" s="3"/>
      <c r="W19" s="3"/>
      <c r="Y19" s="3"/>
    </row>
    <row r="20" spans="1:25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-2.0000000000000018E-3</v>
      </c>
      <c r="D20" s="3">
        <f xml:space="preserve"> D8 - '+0 seg'!$D$8</f>
        <v>-1.0000000000000009E-3</v>
      </c>
      <c r="E20" s="3">
        <f xml:space="preserve"> E8 - '+0 seg'!$E$8</f>
        <v>0</v>
      </c>
      <c r="F20" s="3">
        <f xml:space="preserve"> F8 - '+0 seg'!$F$8</f>
        <v>2.0000000000000018E-3</v>
      </c>
      <c r="G20" s="3">
        <f xml:space="preserve"> G8 - '+0 seg'!$G$8</f>
        <v>0</v>
      </c>
      <c r="H20" s="3">
        <f xml:space="preserve"> H8 - '+0 seg'!$H$8</f>
        <v>0</v>
      </c>
      <c r="I20" s="3">
        <f xml:space="preserve"> I8 - '+0 seg'!$I$8</f>
        <v>0</v>
      </c>
      <c r="J20" s="3">
        <f xml:space="preserve"> J8 - '+0 seg'!$J$8</f>
        <v>-9.9999999999999395E-4</v>
      </c>
      <c r="K20" s="3">
        <f xml:space="preserve"> K8 - '+0 seg'!$K$8</f>
        <v>0</v>
      </c>
      <c r="L20" s="3">
        <f xml:space="preserve"> L8 - '+0 seg'!$L$8</f>
        <v>1.0000000000000009E-3</v>
      </c>
      <c r="M20" s="3">
        <f xml:space="preserve"> M8 - '+0 seg'!$M$8</f>
        <v>1.0000000000000009E-3</v>
      </c>
      <c r="O20" s="3"/>
      <c r="Q20" s="3"/>
      <c r="S20" s="3"/>
      <c r="U20" s="3"/>
      <c r="W20" s="3"/>
      <c r="Y20" s="3"/>
    </row>
    <row r="21" spans="1:25" x14ac:dyDescent="0.25">
      <c r="A21" t="s">
        <v>19</v>
      </c>
      <c r="B21" s="3">
        <f xml:space="preserve"> B9 - '+0 seg'!$B$9</f>
        <v>2.0000000000000018E-3</v>
      </c>
      <c r="C21" s="3">
        <f xml:space="preserve"> C9 - '+0 seg'!$C$9</f>
        <v>1.0000000000000009E-3</v>
      </c>
      <c r="D21" s="3">
        <f xml:space="preserve"> D9 - '+0 seg'!$D$9</f>
        <v>1.0000000000000009E-3</v>
      </c>
      <c r="E21" s="3">
        <f xml:space="preserve"> E9 - '+0 seg'!$E$9</f>
        <v>1.0000000000000009E-3</v>
      </c>
      <c r="F21" s="3">
        <f xml:space="preserve"> F9 - '+0 seg'!$F$9</f>
        <v>1.0000000000000009E-3</v>
      </c>
      <c r="G21" s="3">
        <f xml:space="preserve"> G9 - '+0 seg'!$G$9</f>
        <v>1.0000000000000009E-3</v>
      </c>
      <c r="H21" s="3">
        <f xml:space="preserve"> H9 - '+0 seg'!$H$9</f>
        <v>0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  <c r="O21" s="3"/>
      <c r="Q21" s="3"/>
      <c r="S21" s="3"/>
      <c r="U21" s="3"/>
      <c r="W21" s="3"/>
      <c r="Y21" s="3"/>
    </row>
    <row r="22" spans="1:25" x14ac:dyDescent="0.25">
      <c r="A22" t="s">
        <v>20</v>
      </c>
      <c r="B22" s="3">
        <f xml:space="preserve"> B10 - '+0 seg'!$B$10</f>
        <v>2.0000000000000018E-3</v>
      </c>
      <c r="C22" s="3">
        <f xml:space="preserve"> C10 - '+0 seg'!$C$10</f>
        <v>1.3000000000000012E-2</v>
      </c>
      <c r="D22" s="3">
        <f xml:space="preserve"> D10 - '+0 seg'!$D$10</f>
        <v>0</v>
      </c>
      <c r="E22" s="3">
        <f xml:space="preserve"> E10 - '+0 seg'!$E$10</f>
        <v>-1.0000000000000009E-3</v>
      </c>
      <c r="F22" s="3">
        <f xml:space="preserve"> F10 - '+0 seg'!$F$10</f>
        <v>5.0000000000000044E-3</v>
      </c>
      <c r="G22" s="3">
        <f xml:space="preserve"> G10 - '+0 seg'!$G$10</f>
        <v>0</v>
      </c>
      <c r="H22" s="3">
        <f xml:space="preserve"> H10 - '+0 seg'!$H$10</f>
        <v>0</v>
      </c>
      <c r="I22" s="3">
        <f xml:space="preserve"> I10 - '+0 seg'!$I$10</f>
        <v>0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0</v>
      </c>
      <c r="O22" s="3"/>
      <c r="Q22" s="3"/>
      <c r="S22" s="3"/>
      <c r="U22" s="3"/>
      <c r="W22" s="3"/>
      <c r="Y22" s="3"/>
    </row>
    <row r="25" spans="1:25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25" x14ac:dyDescent="0.25">
      <c r="A26" t="s">
        <v>13</v>
      </c>
      <c r="B26" s="3">
        <f>AVERAGE(B15:C15)</f>
        <v>5.0000000000000044E-4</v>
      </c>
      <c r="C26" s="3">
        <f>STDEV(B15:C15)</f>
        <v>7.0710678118654816E-4</v>
      </c>
      <c r="D26" s="3">
        <f t="shared" ref="D26:H33" si="0">AVERAGE(D15:E15)</f>
        <v>-4.9999999999999351E-4</v>
      </c>
      <c r="E26" s="3">
        <f>STDEV(D15:E15)</f>
        <v>2.1213203435596346E-3</v>
      </c>
      <c r="F26" s="3">
        <f t="shared" si="0"/>
        <v>-5.0000000000000044E-4</v>
      </c>
      <c r="G26" s="3">
        <f>STDEV(F15:G15)</f>
        <v>7.0710678118654816E-4</v>
      </c>
      <c r="H26" s="3">
        <f t="shared" si="0"/>
        <v>-1.0000000000000009E-3</v>
      </c>
      <c r="I26" s="3">
        <f>STDEV(H15:I15)</f>
        <v>0</v>
      </c>
      <c r="J26" s="3">
        <f>AVERAGE(J15:J16)</f>
        <v>-4.9999999999999697E-4</v>
      </c>
      <c r="K26" s="3">
        <f>STDEV(J15:J16)</f>
        <v>7.0710678118654328E-4</v>
      </c>
      <c r="L26" s="3">
        <f>AVERAGE(K15:K16)</f>
        <v>-9.9999999999999742E-4</v>
      </c>
      <c r="M26" s="3">
        <f>STDEV(K15:K16)</f>
        <v>1.4142135623730913E-3</v>
      </c>
    </row>
    <row r="27" spans="1:25" x14ac:dyDescent="0.25">
      <c r="A27" t="s">
        <v>14</v>
      </c>
      <c r="B27" s="3">
        <f t="shared" ref="B27:B33" si="1">AVERAGE(B16:C16)</f>
        <v>0</v>
      </c>
      <c r="C27" s="3">
        <f t="shared" ref="C27:E33" si="2">STDEV(B16:C16)</f>
        <v>0</v>
      </c>
      <c r="D27" s="3">
        <f t="shared" si="0"/>
        <v>4.4999999999999971E-3</v>
      </c>
      <c r="E27" s="3">
        <f t="shared" si="2"/>
        <v>3.5355339059327307E-3</v>
      </c>
      <c r="F27" s="3">
        <f t="shared" si="0"/>
        <v>2.0000000000000018E-3</v>
      </c>
      <c r="G27" s="3">
        <f t="shared" ref="G27:G33" si="3">STDEV(F16:G16)</f>
        <v>0</v>
      </c>
      <c r="H27" s="3">
        <f t="shared" si="0"/>
        <v>1.5000000000000013E-3</v>
      </c>
      <c r="I27" s="3">
        <f t="shared" ref="I27:I33" si="4">STDEV(H16:I16)</f>
        <v>7.0710678118654816E-4</v>
      </c>
      <c r="L27" s="3"/>
      <c r="M27" s="3"/>
    </row>
    <row r="28" spans="1:25" x14ac:dyDescent="0.25">
      <c r="A28" t="s">
        <v>15</v>
      </c>
      <c r="B28" s="3">
        <f t="shared" si="1"/>
        <v>1.0000000000000009E-3</v>
      </c>
      <c r="C28" s="3">
        <f t="shared" si="2"/>
        <v>1.4142135623730963E-3</v>
      </c>
      <c r="D28" s="3">
        <f t="shared" si="0"/>
        <v>5.0000000000000044E-4</v>
      </c>
      <c r="E28" s="3">
        <f t="shared" si="2"/>
        <v>2.1213203435596446E-3</v>
      </c>
      <c r="F28" s="3">
        <f t="shared" si="0"/>
        <v>-1.5000000000000013E-3</v>
      </c>
      <c r="G28" s="3">
        <f t="shared" si="3"/>
        <v>2.1213203435596446E-3</v>
      </c>
      <c r="H28" s="3">
        <f t="shared" si="0"/>
        <v>-5.0000000000000044E-4</v>
      </c>
      <c r="I28" s="3">
        <f t="shared" si="4"/>
        <v>2.1213203435596446E-3</v>
      </c>
      <c r="J28" s="3"/>
      <c r="K28" s="3"/>
      <c r="L28" s="3"/>
      <c r="M28" s="3"/>
    </row>
    <row r="29" spans="1:25" x14ac:dyDescent="0.25">
      <c r="A29" t="s">
        <v>16</v>
      </c>
      <c r="B29" s="3">
        <f t="shared" si="1"/>
        <v>9.9999999999998701E-4</v>
      </c>
      <c r="C29" s="3">
        <f t="shared" si="2"/>
        <v>1.962615573354719E-17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2.4999999999999953E-3</v>
      </c>
      <c r="G29" s="3">
        <f t="shared" si="3"/>
        <v>2.1213203435596546E-3</v>
      </c>
      <c r="H29" s="3">
        <f t="shared" si="0"/>
        <v>4.9999999999999351E-4</v>
      </c>
      <c r="I29" s="3">
        <f t="shared" si="4"/>
        <v>3.5355339059327312E-3</v>
      </c>
      <c r="J29" s="3"/>
      <c r="K29" s="3"/>
      <c r="L29" s="3"/>
      <c r="M29" s="3"/>
    </row>
    <row r="30" spans="1:25" x14ac:dyDescent="0.25">
      <c r="A30" t="s">
        <v>17</v>
      </c>
      <c r="B30" s="3">
        <f t="shared" si="1"/>
        <v>-5.0000000000000044E-4</v>
      </c>
      <c r="C30" s="3">
        <f t="shared" si="2"/>
        <v>3.5355339059327407E-3</v>
      </c>
      <c r="D30" s="3">
        <f t="shared" si="0"/>
        <v>5.0000000000000044E-4</v>
      </c>
      <c r="E30" s="3">
        <f t="shared" si="2"/>
        <v>7.0710678118654816E-4</v>
      </c>
      <c r="F30" s="3">
        <f t="shared" si="0"/>
        <v>1.5000000000000013E-3</v>
      </c>
      <c r="G30" s="3">
        <f t="shared" si="3"/>
        <v>7.0710678118654816E-4</v>
      </c>
      <c r="H30" s="3">
        <f t="shared" si="0"/>
        <v>-5.0000000000000044E-4</v>
      </c>
      <c r="I30" s="3">
        <f t="shared" si="4"/>
        <v>7.0710678118654816E-4</v>
      </c>
      <c r="J30" s="3">
        <f>AVERAGE(J19:J20)</f>
        <v>-4.9999999999999697E-4</v>
      </c>
      <c r="K30" s="3">
        <f>STDEV(J19:J20)</f>
        <v>7.0710678118654328E-4</v>
      </c>
      <c r="L30" s="3">
        <f>AVERAGE(K19:K20)</f>
        <v>0</v>
      </c>
      <c r="M30" s="3">
        <f>STDEV(K19:K20)</f>
        <v>0</v>
      </c>
    </row>
    <row r="31" spans="1:25" x14ac:dyDescent="0.25">
      <c r="A31" t="s">
        <v>18</v>
      </c>
      <c r="B31" s="3">
        <f t="shared" si="1"/>
        <v>1.4999999999999944E-3</v>
      </c>
      <c r="C31" s="3">
        <f t="shared" si="2"/>
        <v>4.9497474683058273E-3</v>
      </c>
      <c r="D31" s="3">
        <f t="shared" si="0"/>
        <v>-5.0000000000000044E-4</v>
      </c>
      <c r="E31" s="3">
        <f t="shared" si="2"/>
        <v>7.0710678118654816E-4</v>
      </c>
      <c r="F31" s="3">
        <f t="shared" si="0"/>
        <v>1.0000000000000009E-3</v>
      </c>
      <c r="G31" s="3">
        <f t="shared" si="3"/>
        <v>1.4142135623730963E-3</v>
      </c>
      <c r="H31" s="3">
        <f t="shared" si="0"/>
        <v>0</v>
      </c>
      <c r="I31" s="3">
        <f t="shared" si="4"/>
        <v>0</v>
      </c>
      <c r="L31" s="3"/>
      <c r="M31" s="3"/>
    </row>
    <row r="32" spans="1:25" x14ac:dyDescent="0.25">
      <c r="A32" t="s">
        <v>19</v>
      </c>
      <c r="B32" s="3">
        <f t="shared" si="1"/>
        <v>1.5000000000000013E-3</v>
      </c>
      <c r="C32" s="3">
        <f t="shared" si="2"/>
        <v>7.0710678118654816E-4</v>
      </c>
      <c r="D32" s="3">
        <f t="shared" si="0"/>
        <v>1.0000000000000009E-3</v>
      </c>
      <c r="E32" s="3">
        <f t="shared" si="2"/>
        <v>0</v>
      </c>
      <c r="F32" s="3">
        <f t="shared" si="0"/>
        <v>1.0000000000000009E-3</v>
      </c>
      <c r="G32" s="3">
        <f t="shared" si="3"/>
        <v>0</v>
      </c>
      <c r="H32" s="3">
        <f t="shared" si="0"/>
        <v>0</v>
      </c>
      <c r="I32" s="3">
        <f t="shared" si="4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7.5000000000000067E-3</v>
      </c>
      <c r="C33" s="3">
        <f t="shared" si="2"/>
        <v>7.7781745930520308E-3</v>
      </c>
      <c r="D33" s="3">
        <f t="shared" si="0"/>
        <v>-5.0000000000000044E-4</v>
      </c>
      <c r="E33" s="3">
        <f t="shared" si="2"/>
        <v>7.0710678118654816E-4</v>
      </c>
      <c r="F33" s="3">
        <f t="shared" si="0"/>
        <v>2.5000000000000022E-3</v>
      </c>
      <c r="G33" s="3">
        <f t="shared" si="3"/>
        <v>3.5355339059327407E-3</v>
      </c>
      <c r="H33" s="3">
        <f t="shared" si="0"/>
        <v>0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2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25">
      <c r="A3" t="s">
        <v>13</v>
      </c>
      <c r="B3">
        <v>9.9000000000000005E-2</v>
      </c>
      <c r="C3">
        <v>8.5000000000000006E-2</v>
      </c>
      <c r="D3">
        <v>7.4999999999999997E-2</v>
      </c>
      <c r="E3">
        <v>0.09</v>
      </c>
      <c r="F3">
        <v>0.14199999999999999</v>
      </c>
      <c r="G3">
        <v>0.11600000000000001</v>
      </c>
      <c r="H3">
        <v>8.2000000000000003E-2</v>
      </c>
      <c r="I3">
        <v>6.0999999999999999E-2</v>
      </c>
      <c r="J3">
        <v>0.05</v>
      </c>
      <c r="K3">
        <v>4.8000000000000001E-2</v>
      </c>
      <c r="L3">
        <v>0.12</v>
      </c>
      <c r="M3">
        <v>9.1999999999999998E-2</v>
      </c>
    </row>
    <row r="4" spans="1:25" x14ac:dyDescent="0.25">
      <c r="A4" t="s">
        <v>14</v>
      </c>
      <c r="B4">
        <v>0.128</v>
      </c>
      <c r="C4">
        <v>0.14000000000000001</v>
      </c>
      <c r="D4">
        <v>7.9000000000000001E-2</v>
      </c>
      <c r="E4">
        <v>9.1999999999999998E-2</v>
      </c>
      <c r="F4">
        <v>0.14799999999999999</v>
      </c>
      <c r="G4">
        <v>0.128</v>
      </c>
      <c r="H4">
        <v>9.4E-2</v>
      </c>
      <c r="I4">
        <v>9.5000000000000001E-2</v>
      </c>
      <c r="J4">
        <v>6.2E-2</v>
      </c>
      <c r="K4">
        <v>5.1999999999999998E-2</v>
      </c>
      <c r="L4">
        <v>9.2999999999999999E-2</v>
      </c>
      <c r="M4">
        <v>0.111</v>
      </c>
    </row>
    <row r="5" spans="1:25" x14ac:dyDescent="0.25">
      <c r="A5" t="s">
        <v>15</v>
      </c>
      <c r="B5">
        <v>0.14099999999999999</v>
      </c>
      <c r="C5">
        <v>0.14399999999999999</v>
      </c>
      <c r="D5">
        <v>8.2000000000000003E-2</v>
      </c>
      <c r="E5">
        <v>0.08</v>
      </c>
      <c r="F5">
        <v>0.10100000000000001</v>
      </c>
      <c r="G5">
        <v>0.112</v>
      </c>
      <c r="H5">
        <v>7.6999999999999999E-2</v>
      </c>
      <c r="I5">
        <v>6.6000000000000003E-2</v>
      </c>
      <c r="J5">
        <v>9.4E-2</v>
      </c>
      <c r="K5">
        <v>0.11799999999999999</v>
      </c>
      <c r="L5">
        <v>0.114</v>
      </c>
      <c r="M5">
        <v>0.107</v>
      </c>
    </row>
    <row r="6" spans="1:25" x14ac:dyDescent="0.25">
      <c r="A6" t="s">
        <v>16</v>
      </c>
      <c r="B6">
        <v>0.17299999999999999</v>
      </c>
      <c r="C6">
        <v>0.185</v>
      </c>
      <c r="D6">
        <v>8.3000000000000004E-2</v>
      </c>
      <c r="E6">
        <v>9.0999999999999998E-2</v>
      </c>
      <c r="F6">
        <v>0.11799999999999999</v>
      </c>
      <c r="G6">
        <v>0.20399999999999999</v>
      </c>
      <c r="H6">
        <v>7.0000000000000007E-2</v>
      </c>
      <c r="I6">
        <v>0.108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25" x14ac:dyDescent="0.25">
      <c r="A7" t="s">
        <v>17</v>
      </c>
      <c r="B7">
        <v>0.13600000000000001</v>
      </c>
      <c r="C7">
        <v>0.14899999999999999</v>
      </c>
      <c r="D7">
        <v>8.1000000000000003E-2</v>
      </c>
      <c r="E7">
        <v>8.8999999999999996E-2</v>
      </c>
      <c r="F7">
        <v>0.114</v>
      </c>
      <c r="G7">
        <v>0.106</v>
      </c>
      <c r="H7">
        <v>9.7000000000000003E-2</v>
      </c>
      <c r="I7">
        <v>8.2000000000000003E-2</v>
      </c>
      <c r="J7">
        <v>6.9000000000000006E-2</v>
      </c>
      <c r="K7">
        <v>6.9000000000000006E-2</v>
      </c>
      <c r="L7">
        <v>0.64900000000000002</v>
      </c>
      <c r="M7">
        <v>9.7000000000000003E-2</v>
      </c>
    </row>
    <row r="8" spans="1:25" x14ac:dyDescent="0.25">
      <c r="A8" t="s">
        <v>18</v>
      </c>
      <c r="B8">
        <v>0.123</v>
      </c>
      <c r="C8">
        <v>9.0999999999999998E-2</v>
      </c>
      <c r="D8">
        <v>7.8E-2</v>
      </c>
      <c r="E8">
        <v>7.4999999999999997E-2</v>
      </c>
      <c r="F8">
        <v>9.8000000000000004E-2</v>
      </c>
      <c r="G8">
        <v>0.08</v>
      </c>
      <c r="H8">
        <v>7.8E-2</v>
      </c>
      <c r="I8">
        <v>5.8000000000000003E-2</v>
      </c>
      <c r="J8">
        <v>0.05</v>
      </c>
      <c r="K8">
        <v>6.0999999999999999E-2</v>
      </c>
      <c r="L8">
        <v>0.37</v>
      </c>
      <c r="M8">
        <v>9.8000000000000004E-2</v>
      </c>
    </row>
    <row r="9" spans="1:25" x14ac:dyDescent="0.25">
      <c r="A9" t="s">
        <v>19</v>
      </c>
      <c r="B9">
        <v>0.152</v>
      </c>
      <c r="C9">
        <v>0.16400000000000001</v>
      </c>
      <c r="D9">
        <v>0.10100000000000001</v>
      </c>
      <c r="E9">
        <v>0.106</v>
      </c>
      <c r="F9">
        <v>0.11700000000000001</v>
      </c>
      <c r="G9">
        <v>0.10100000000000001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25" x14ac:dyDescent="0.25">
      <c r="A10" t="s">
        <v>20</v>
      </c>
      <c r="B10">
        <v>0.21</v>
      </c>
      <c r="C10">
        <v>0.22600000000000001</v>
      </c>
      <c r="D10">
        <v>0.105</v>
      </c>
      <c r="E10">
        <v>0.111</v>
      </c>
      <c r="F10">
        <v>0.23400000000000001</v>
      </c>
      <c r="G10">
        <v>0.16</v>
      </c>
      <c r="H10">
        <v>9.7000000000000003E-2</v>
      </c>
      <c r="I10">
        <v>9.1999999999999998E-2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25" x14ac:dyDescent="0.25">
      <c r="A15" t="s">
        <v>13</v>
      </c>
      <c r="B15" s="3">
        <f xml:space="preserve"> B3 - '+0 seg'!$B$3</f>
        <v>1.0000000000000009E-3</v>
      </c>
      <c r="C15" s="3">
        <f xml:space="preserve"> C3 - '+0 seg'!$C$3</f>
        <v>0</v>
      </c>
      <c r="D15" s="3">
        <f xml:space="preserve"> D3 - '+0 seg'!$D$3</f>
        <v>2.0000000000000018E-3</v>
      </c>
      <c r="E15" s="3">
        <f xml:space="preserve"> E3 - '+0 seg'!$E$3</f>
        <v>3.0000000000000027E-3</v>
      </c>
      <c r="F15" s="3">
        <f xml:space="preserve"> F3 - '+0 seg'!$F$3</f>
        <v>-5.0000000000000044E-3</v>
      </c>
      <c r="G15" s="3">
        <f xml:space="preserve"> G3 - '+0 seg'!$G$3</f>
        <v>1.0000000000000009E-3</v>
      </c>
      <c r="H15" s="3">
        <f xml:space="preserve"> H3 - '+0 seg'!$H$3</f>
        <v>-1.0000000000000009E-3</v>
      </c>
      <c r="I15" s="3">
        <f xml:space="preserve"> I3 - '+0 seg'!$I$3</f>
        <v>0</v>
      </c>
      <c r="J15" s="3">
        <f xml:space="preserve"> J3 - '+0 seg'!$J$3</f>
        <v>-9.9999999999999395E-4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  <c r="O15" s="3"/>
      <c r="Q15" s="3"/>
      <c r="S15" s="3"/>
      <c r="U15" s="3"/>
      <c r="W15" s="3"/>
      <c r="Y15" s="3"/>
    </row>
    <row r="16" spans="1:25" x14ac:dyDescent="0.25">
      <c r="A16" t="s">
        <v>14</v>
      </c>
      <c r="B16" s="3">
        <f xml:space="preserve"> B4 - '+0 seg'!$B$4</f>
        <v>0</v>
      </c>
      <c r="C16" s="3">
        <f xml:space="preserve"> C4 - '+0 seg'!$C$4</f>
        <v>0</v>
      </c>
      <c r="D16" s="3">
        <f xml:space="preserve"> D4 - '+0 seg'!$D$4</f>
        <v>3.0000000000000027E-3</v>
      </c>
      <c r="E16" s="3">
        <f xml:space="preserve"> E4 - '+0 seg'!$E$4</f>
        <v>7.9999999999999932E-3</v>
      </c>
      <c r="F16" s="3">
        <f xml:space="preserve"> F4 - '+0 seg'!$F$4</f>
        <v>2.0000000000000018E-3</v>
      </c>
      <c r="G16" s="3">
        <f xml:space="preserve"> G4 - '+0 seg'!$G$4</f>
        <v>1.0000000000000009E-3</v>
      </c>
      <c r="H16" s="3">
        <f xml:space="preserve"> H4 - '+0 seg'!$H$4</f>
        <v>3.0000000000000027E-3</v>
      </c>
      <c r="I16" s="3">
        <f xml:space="preserve"> I4 - '+0 seg'!$I$4</f>
        <v>3.0000000000000027E-3</v>
      </c>
      <c r="J16" s="3">
        <f xml:space="preserve"> J4 - '+0 seg'!$J$4</f>
        <v>0</v>
      </c>
      <c r="K16" s="3">
        <f xml:space="preserve"> K4 - '+0 seg'!$K$4</f>
        <v>0</v>
      </c>
      <c r="L16" s="3">
        <f xml:space="preserve"> L4 - '+0 seg'!$L$4</f>
        <v>-1.0000000000000009E-3</v>
      </c>
      <c r="M16" s="3">
        <f xml:space="preserve"> M4 - '+0 seg'!$M$4</f>
        <v>0</v>
      </c>
      <c r="O16" s="3"/>
      <c r="Q16" s="3"/>
      <c r="S16" s="3"/>
      <c r="U16" s="3"/>
      <c r="W16" s="3"/>
      <c r="Y16" s="3"/>
    </row>
    <row r="17" spans="1:25" x14ac:dyDescent="0.25">
      <c r="A17" t="s">
        <v>15</v>
      </c>
      <c r="B17" s="3">
        <f xml:space="preserve"> B5 - '+0 seg'!$B$5</f>
        <v>0</v>
      </c>
      <c r="C17" s="3">
        <f xml:space="preserve"> C5 - '+0 seg'!$C$5</f>
        <v>2.0000000000000018E-3</v>
      </c>
      <c r="D17" s="3">
        <f xml:space="preserve"> D5 - '+0 seg'!$D$5</f>
        <v>2.0000000000000018E-3</v>
      </c>
      <c r="E17" s="3">
        <f xml:space="preserve"> E5 - '+0 seg'!$E$5</f>
        <v>0</v>
      </c>
      <c r="F17" s="3">
        <f xml:space="preserve"> F5 - '+0 seg'!$F$5</f>
        <v>0</v>
      </c>
      <c r="G17" s="3">
        <f xml:space="preserve"> G5 - '+0 seg'!$G$5</f>
        <v>-4.0000000000000036E-3</v>
      </c>
      <c r="H17" s="3">
        <f xml:space="preserve"> H5 - '+0 seg'!$H$5</f>
        <v>2.0000000000000018E-3</v>
      </c>
      <c r="I17" s="3">
        <f xml:space="preserve"> I5 - '+0 seg'!$I$5</f>
        <v>-3.0000000000000027E-3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  <c r="O17" s="3"/>
      <c r="Q17" s="3"/>
      <c r="S17" s="3"/>
      <c r="U17" s="3"/>
      <c r="W17" s="3"/>
      <c r="Y17" s="3"/>
    </row>
    <row r="18" spans="1:25" x14ac:dyDescent="0.25">
      <c r="A18" t="s">
        <v>16</v>
      </c>
      <c r="B18" s="3">
        <f xml:space="preserve"> B6 - '+0 seg'!$B$6</f>
        <v>1.999999999999974E-3</v>
      </c>
      <c r="C18" s="3">
        <f xml:space="preserve"> C6 - '+0 seg'!$C$6</f>
        <v>1.0000000000000009E-3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9.9999999999998701E-4</v>
      </c>
      <c r="G18" s="3">
        <f xml:space="preserve"> G6 - '+0 seg'!$G$6</f>
        <v>4.9999999999999767E-3</v>
      </c>
      <c r="H18" s="3">
        <f xml:space="preserve"> H6 - '+0 seg'!$H$6</f>
        <v>2.0000000000000018E-3</v>
      </c>
      <c r="I18" s="3">
        <f xml:space="preserve"> I6 - '+0 seg'!$I$6</f>
        <v>-1.0000000000000009E-3</v>
      </c>
      <c r="J18" s="3">
        <f xml:space="preserve"> J6 - '+0 seg'!$J$6</f>
        <v>0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  <c r="O18" s="3"/>
      <c r="Q18" s="3"/>
      <c r="S18" s="3"/>
      <c r="U18" s="3"/>
      <c r="W18" s="3"/>
      <c r="Y18" s="3"/>
    </row>
    <row r="19" spans="1:25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-2.0000000000000018E-3</v>
      </c>
      <c r="D19" s="3">
        <f xml:space="preserve"> D7 - '+0 seg'!$D$7</f>
        <v>1.0000000000000009E-3</v>
      </c>
      <c r="E19" s="3">
        <f xml:space="preserve"> E7 - '+0 seg'!$E$7</f>
        <v>1.0000000000000009E-3</v>
      </c>
      <c r="F19" s="3">
        <f xml:space="preserve"> F7 - '+0 seg'!$F$7</f>
        <v>2.0000000000000018E-3</v>
      </c>
      <c r="G19" s="3">
        <f xml:space="preserve"> G7 - '+0 seg'!$G$7</f>
        <v>3.0000000000000027E-3</v>
      </c>
      <c r="H19" s="3">
        <f xml:space="preserve"> H7 - '+0 seg'!$H$7</f>
        <v>3.0000000000000027E-3</v>
      </c>
      <c r="I19" s="3">
        <f xml:space="preserve"> I7 - '+0 seg'!$I$7</f>
        <v>-2.0000000000000018E-3</v>
      </c>
      <c r="J19" s="3">
        <f xml:space="preserve"> J7 - '+0 seg'!$J$7</f>
        <v>0</v>
      </c>
      <c r="K19" s="3">
        <f xml:space="preserve"> K7 - '+0 seg'!$K$7</f>
        <v>0</v>
      </c>
      <c r="L19" s="3">
        <f xml:space="preserve"> L7 - '+0 seg'!$L$7</f>
        <v>6.0000000000000053E-3</v>
      </c>
      <c r="M19" s="3">
        <f xml:space="preserve"> M7 - '+0 seg'!$M$7</f>
        <v>0</v>
      </c>
      <c r="O19" s="3"/>
      <c r="Q19" s="3"/>
      <c r="S19" s="3"/>
      <c r="U19" s="3"/>
      <c r="W19" s="3"/>
      <c r="Y19" s="3"/>
    </row>
    <row r="20" spans="1:25" x14ac:dyDescent="0.25">
      <c r="A20" t="s">
        <v>18</v>
      </c>
      <c r="B20" s="3">
        <f xml:space="preserve"> B8 - '+0 seg'!$B$8</f>
        <v>6.9999999999999923E-3</v>
      </c>
      <c r="C20" s="3">
        <f xml:space="preserve"> C8 - '+0 seg'!$C$8</f>
        <v>0</v>
      </c>
      <c r="D20" s="3">
        <f xml:space="preserve"> D8 - '+0 seg'!$D$8</f>
        <v>-1.0000000000000009E-3</v>
      </c>
      <c r="E20" s="3">
        <f xml:space="preserve"> E8 - '+0 seg'!$E$8</f>
        <v>0</v>
      </c>
      <c r="F20" s="3">
        <f xml:space="preserve"> F8 - '+0 seg'!$F$8</f>
        <v>2.0000000000000018E-3</v>
      </c>
      <c r="G20" s="3">
        <f xml:space="preserve"> G8 - '+0 seg'!$G$8</f>
        <v>1.0000000000000009E-3</v>
      </c>
      <c r="H20" s="3">
        <f xml:space="preserve"> H8 - '+0 seg'!$H$8</f>
        <v>2.0000000000000018E-3</v>
      </c>
      <c r="I20" s="3">
        <f xml:space="preserve"> I8 - '+0 seg'!$I$8</f>
        <v>-9.9999999999999395E-4</v>
      </c>
      <c r="J20" s="3">
        <f xml:space="preserve"> J8 - '+0 seg'!$J$8</f>
        <v>-9.9999999999999395E-4</v>
      </c>
      <c r="K20" s="3">
        <f xml:space="preserve"> K8 - '+0 seg'!$K$8</f>
        <v>-1.0000000000000009E-3</v>
      </c>
      <c r="L20" s="3">
        <f xml:space="preserve"> L8 - '+0 seg'!$L$8</f>
        <v>1.0000000000000009E-3</v>
      </c>
      <c r="M20" s="3">
        <f xml:space="preserve"> M8 - '+0 seg'!$M$8</f>
        <v>1.0000000000000009E-3</v>
      </c>
      <c r="O20" s="3"/>
      <c r="Q20" s="3"/>
      <c r="S20" s="3"/>
      <c r="U20" s="3"/>
      <c r="W20" s="3"/>
      <c r="Y20" s="3"/>
    </row>
    <row r="21" spans="1:25" x14ac:dyDescent="0.25">
      <c r="A21" t="s">
        <v>19</v>
      </c>
      <c r="B21" s="3">
        <f xml:space="preserve"> B9 - '+0 seg'!$B$9</f>
        <v>1.0000000000000009E-3</v>
      </c>
      <c r="C21" s="3">
        <f xml:space="preserve"> C9 - '+0 seg'!$C$9</f>
        <v>2.0000000000000018E-3</v>
      </c>
      <c r="D21" s="3">
        <f xml:space="preserve"> D9 - '+0 seg'!$D$9</f>
        <v>1.0000000000000009E-3</v>
      </c>
      <c r="E21" s="3">
        <f xml:space="preserve"> E9 - '+0 seg'!$E$9</f>
        <v>1.0000000000000009E-3</v>
      </c>
      <c r="F21" s="3">
        <f xml:space="preserve"> F9 - '+0 seg'!$F$9</f>
        <v>1.0000000000000009E-3</v>
      </c>
      <c r="G21" s="3">
        <f xml:space="preserve"> G9 - '+0 seg'!$G$9</f>
        <v>3.0000000000000027E-3</v>
      </c>
      <c r="H21" s="3">
        <f xml:space="preserve"> H9 - '+0 seg'!$H$9</f>
        <v>0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  <c r="O21" s="3"/>
      <c r="Q21" s="3"/>
      <c r="S21" s="3"/>
      <c r="U21" s="3"/>
      <c r="W21" s="3"/>
      <c r="Y21" s="3"/>
    </row>
    <row r="22" spans="1:25" x14ac:dyDescent="0.25">
      <c r="A22" t="s">
        <v>20</v>
      </c>
      <c r="B22" s="3">
        <f xml:space="preserve"> B10 - '+0 seg'!$B$10</f>
        <v>-9.000000000000008E-3</v>
      </c>
      <c r="C22" s="3">
        <f xml:space="preserve"> C10 - '+0 seg'!$C$10</f>
        <v>2.1000000000000019E-2</v>
      </c>
      <c r="D22" s="3">
        <f xml:space="preserve"> D10 - '+0 seg'!$D$10</f>
        <v>0</v>
      </c>
      <c r="E22" s="3">
        <f xml:space="preserve"> E10 - '+0 seg'!$E$10</f>
        <v>-1.0000000000000009E-3</v>
      </c>
      <c r="F22" s="3">
        <f xml:space="preserve"> F10 - '+0 seg'!$F$10</f>
        <v>8.0000000000000071E-3</v>
      </c>
      <c r="G22" s="3">
        <f xml:space="preserve"> G10 - '+0 seg'!$G$10</f>
        <v>1.0000000000000009E-3</v>
      </c>
      <c r="H22" s="3">
        <f xml:space="preserve"> H10 - '+0 seg'!$H$10</f>
        <v>0</v>
      </c>
      <c r="I22" s="3">
        <f xml:space="preserve"> I10 - '+0 seg'!$I$10</f>
        <v>0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0</v>
      </c>
      <c r="O22" s="3"/>
      <c r="Q22" s="3"/>
      <c r="S22" s="3"/>
      <c r="U22" s="3"/>
      <c r="W22" s="3"/>
      <c r="Y22" s="3"/>
    </row>
    <row r="25" spans="1:25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25" x14ac:dyDescent="0.25">
      <c r="A26" t="s">
        <v>13</v>
      </c>
      <c r="B26" s="3">
        <f>AVERAGE(B15:C15)</f>
        <v>5.0000000000000044E-4</v>
      </c>
      <c r="C26" s="3">
        <f>STDEV(B15:C15)</f>
        <v>7.0710678118654816E-4</v>
      </c>
      <c r="D26" s="3">
        <f t="shared" ref="D26:H33" si="0">AVERAGE(D15:E15)</f>
        <v>2.5000000000000022E-3</v>
      </c>
      <c r="E26" s="3">
        <f>STDEV(D15:E15)</f>
        <v>7.0710678118654816E-4</v>
      </c>
      <c r="F26" s="3">
        <f t="shared" si="0"/>
        <v>-2.0000000000000018E-3</v>
      </c>
      <c r="G26" s="3">
        <f>STDEV(F15:G15)</f>
        <v>4.2426406871192892E-3</v>
      </c>
      <c r="H26" s="3">
        <f t="shared" si="0"/>
        <v>-5.0000000000000044E-4</v>
      </c>
      <c r="I26" s="3">
        <f>STDEV(H15:I15)</f>
        <v>7.0710678118654816E-4</v>
      </c>
      <c r="J26" s="3">
        <f>AVERAGE(J15:J16)</f>
        <v>-4.9999999999999697E-4</v>
      </c>
      <c r="K26" s="3">
        <f>STDEV(J15:J16)</f>
        <v>7.0710678118654328E-4</v>
      </c>
      <c r="L26" s="3">
        <f>AVERAGE(K15:K16)</f>
        <v>-1.9999999999999983E-3</v>
      </c>
      <c r="M26" s="3">
        <f>STDEV(K15:K16)</f>
        <v>2.8284271247461874E-3</v>
      </c>
    </row>
    <row r="27" spans="1:25" x14ac:dyDescent="0.25">
      <c r="A27" t="s">
        <v>14</v>
      </c>
      <c r="B27" s="3">
        <f t="shared" ref="B27:B33" si="1">AVERAGE(B16:C16)</f>
        <v>0</v>
      </c>
      <c r="C27" s="3">
        <f t="shared" ref="C27:E33" si="2">STDEV(B16:C16)</f>
        <v>0</v>
      </c>
      <c r="D27" s="3">
        <f t="shared" si="0"/>
        <v>5.4999999999999979E-3</v>
      </c>
      <c r="E27" s="3">
        <f t="shared" si="2"/>
        <v>3.5355339059327307E-3</v>
      </c>
      <c r="F27" s="3">
        <f t="shared" si="0"/>
        <v>1.5000000000000013E-3</v>
      </c>
      <c r="G27" s="3">
        <f t="shared" ref="G27:G33" si="3">STDEV(F16:G16)</f>
        <v>7.0710678118654816E-4</v>
      </c>
      <c r="H27" s="3">
        <f t="shared" si="0"/>
        <v>3.0000000000000027E-3</v>
      </c>
      <c r="I27" s="3">
        <f t="shared" ref="I27:I33" si="4">STDEV(H16:I16)</f>
        <v>0</v>
      </c>
      <c r="L27" s="3"/>
      <c r="M27" s="3"/>
    </row>
    <row r="28" spans="1:25" x14ac:dyDescent="0.25">
      <c r="A28" t="s">
        <v>15</v>
      </c>
      <c r="B28" s="3">
        <f t="shared" si="1"/>
        <v>1.0000000000000009E-3</v>
      </c>
      <c r="C28" s="3">
        <f t="shared" si="2"/>
        <v>1.4142135623730963E-3</v>
      </c>
      <c r="D28" s="3">
        <f t="shared" si="0"/>
        <v>1.0000000000000009E-3</v>
      </c>
      <c r="E28" s="3">
        <f t="shared" si="2"/>
        <v>1.4142135623730963E-3</v>
      </c>
      <c r="F28" s="3">
        <f t="shared" si="0"/>
        <v>-2.0000000000000018E-3</v>
      </c>
      <c r="G28" s="3">
        <f t="shared" si="3"/>
        <v>2.8284271247461927E-3</v>
      </c>
      <c r="H28" s="3">
        <f t="shared" si="0"/>
        <v>-5.0000000000000044E-4</v>
      </c>
      <c r="I28" s="3">
        <f t="shared" si="4"/>
        <v>3.5355339059327407E-3</v>
      </c>
      <c r="J28" s="3"/>
      <c r="K28" s="3"/>
      <c r="L28" s="3"/>
      <c r="M28" s="3"/>
    </row>
    <row r="29" spans="1:25" x14ac:dyDescent="0.25">
      <c r="A29" t="s">
        <v>16</v>
      </c>
      <c r="B29" s="3">
        <f t="shared" si="1"/>
        <v>1.4999999999999875E-3</v>
      </c>
      <c r="C29" s="3">
        <f t="shared" si="2"/>
        <v>7.0710678118652854E-4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2.9999999999999818E-3</v>
      </c>
      <c r="G29" s="3">
        <f t="shared" si="3"/>
        <v>2.8284271247461827E-3</v>
      </c>
      <c r="H29" s="3">
        <f t="shared" si="0"/>
        <v>5.0000000000000044E-4</v>
      </c>
      <c r="I29" s="3">
        <f t="shared" si="4"/>
        <v>2.1213203435596446E-3</v>
      </c>
      <c r="J29" s="3"/>
      <c r="K29" s="3"/>
      <c r="L29" s="3"/>
      <c r="M29" s="3"/>
    </row>
    <row r="30" spans="1:25" x14ac:dyDescent="0.25">
      <c r="A30" t="s">
        <v>17</v>
      </c>
      <c r="B30" s="3">
        <f t="shared" si="1"/>
        <v>0</v>
      </c>
      <c r="C30" s="3">
        <f t="shared" si="2"/>
        <v>2.8284271247461927E-3</v>
      </c>
      <c r="D30" s="3">
        <f t="shared" si="0"/>
        <v>1.0000000000000009E-3</v>
      </c>
      <c r="E30" s="3">
        <f t="shared" si="2"/>
        <v>0</v>
      </c>
      <c r="F30" s="3">
        <f t="shared" si="0"/>
        <v>2.5000000000000022E-3</v>
      </c>
      <c r="G30" s="3">
        <f t="shared" si="3"/>
        <v>7.0710678118654816E-4</v>
      </c>
      <c r="H30" s="3">
        <f t="shared" si="0"/>
        <v>5.0000000000000044E-4</v>
      </c>
      <c r="I30" s="3">
        <f t="shared" si="4"/>
        <v>3.5355339059327407E-3</v>
      </c>
      <c r="J30" s="3">
        <f>AVERAGE(J19:J20)</f>
        <v>-4.9999999999999697E-4</v>
      </c>
      <c r="K30" s="3">
        <f>STDEV(J19:J20)</f>
        <v>7.0710678118654328E-4</v>
      </c>
      <c r="L30" s="3">
        <f>AVERAGE(K19:K20)</f>
        <v>-5.0000000000000044E-4</v>
      </c>
      <c r="M30" s="3">
        <f>STDEV(K19:K20)</f>
        <v>7.0710678118654816E-4</v>
      </c>
    </row>
    <row r="31" spans="1:25" x14ac:dyDescent="0.25">
      <c r="A31" t="s">
        <v>18</v>
      </c>
      <c r="B31" s="3">
        <f t="shared" si="1"/>
        <v>3.4999999999999962E-3</v>
      </c>
      <c r="C31" s="3">
        <f t="shared" si="2"/>
        <v>4.9497474683058273E-3</v>
      </c>
      <c r="D31" s="3">
        <f t="shared" si="0"/>
        <v>-5.0000000000000044E-4</v>
      </c>
      <c r="E31" s="3">
        <f t="shared" si="2"/>
        <v>7.0710678118654816E-4</v>
      </c>
      <c r="F31" s="3">
        <f t="shared" si="0"/>
        <v>1.5000000000000013E-3</v>
      </c>
      <c r="G31" s="3">
        <f t="shared" si="3"/>
        <v>7.0710678118654816E-4</v>
      </c>
      <c r="H31" s="3">
        <f t="shared" si="0"/>
        <v>5.0000000000000391E-4</v>
      </c>
      <c r="I31" s="3">
        <f t="shared" si="4"/>
        <v>2.1213203435596394E-3</v>
      </c>
      <c r="L31" s="3"/>
      <c r="M31" s="3"/>
    </row>
    <row r="32" spans="1:25" x14ac:dyDescent="0.25">
      <c r="A32" t="s">
        <v>19</v>
      </c>
      <c r="B32" s="3">
        <f t="shared" si="1"/>
        <v>1.5000000000000013E-3</v>
      </c>
      <c r="C32" s="3">
        <f t="shared" si="2"/>
        <v>7.0710678118654816E-4</v>
      </c>
      <c r="D32" s="3">
        <f t="shared" si="0"/>
        <v>1.0000000000000009E-3</v>
      </c>
      <c r="E32" s="3">
        <f t="shared" si="2"/>
        <v>0</v>
      </c>
      <c r="F32" s="3">
        <f t="shared" si="0"/>
        <v>2.0000000000000018E-3</v>
      </c>
      <c r="G32" s="3">
        <f t="shared" si="3"/>
        <v>1.4142135623730961E-3</v>
      </c>
      <c r="H32" s="3">
        <f t="shared" si="0"/>
        <v>0</v>
      </c>
      <c r="I32" s="3">
        <f t="shared" si="4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6.0000000000000053E-3</v>
      </c>
      <c r="C33" s="3">
        <f t="shared" si="2"/>
        <v>2.1213203435596444E-2</v>
      </c>
      <c r="D33" s="3">
        <f t="shared" si="0"/>
        <v>-5.0000000000000044E-4</v>
      </c>
      <c r="E33" s="3">
        <f t="shared" si="2"/>
        <v>7.0710678118654816E-4</v>
      </c>
      <c r="F33" s="3">
        <f t="shared" si="0"/>
        <v>4.500000000000004E-3</v>
      </c>
      <c r="G33" s="3">
        <f t="shared" si="3"/>
        <v>4.9497474683058377E-3</v>
      </c>
      <c r="H33" s="3">
        <f t="shared" si="0"/>
        <v>0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3"/>
  <sheetViews>
    <sheetView workbookViewId="0">
      <selection activeCell="J28" sqref="J28"/>
    </sheetView>
  </sheetViews>
  <sheetFormatPr baseColWidth="10" defaultColWidth="8.85546875" defaultRowHeight="15" x14ac:dyDescent="0.25"/>
  <sheetData>
    <row r="1" spans="1:2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25">
      <c r="A3" t="s">
        <v>13</v>
      </c>
      <c r="B3">
        <v>9.8000000000000004E-2</v>
      </c>
      <c r="C3">
        <v>8.5000000000000006E-2</v>
      </c>
      <c r="D3">
        <v>7.4999999999999997E-2</v>
      </c>
      <c r="E3">
        <v>8.8999999999999996E-2</v>
      </c>
      <c r="F3">
        <v>0.14299999999999999</v>
      </c>
      <c r="G3">
        <v>0.11600000000000001</v>
      </c>
      <c r="H3">
        <v>8.3000000000000004E-2</v>
      </c>
      <c r="I3">
        <v>6.0999999999999999E-2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25" x14ac:dyDescent="0.25">
      <c r="A4" t="s">
        <v>14</v>
      </c>
      <c r="B4">
        <v>0.128</v>
      </c>
      <c r="C4">
        <v>0.14000000000000001</v>
      </c>
      <c r="D4">
        <v>7.9000000000000001E-2</v>
      </c>
      <c r="E4">
        <v>8.7999999999999995E-2</v>
      </c>
      <c r="F4">
        <v>0.15</v>
      </c>
      <c r="G4">
        <v>0.129</v>
      </c>
      <c r="H4">
        <v>9.5000000000000001E-2</v>
      </c>
      <c r="I4">
        <v>9.5000000000000001E-2</v>
      </c>
      <c r="J4">
        <v>6.2E-2</v>
      </c>
      <c r="K4">
        <v>5.2999999999999999E-2</v>
      </c>
      <c r="L4">
        <v>9.2999999999999999E-2</v>
      </c>
      <c r="M4">
        <v>0.111</v>
      </c>
    </row>
    <row r="5" spans="1:25" x14ac:dyDescent="0.25">
      <c r="A5" t="s">
        <v>15</v>
      </c>
      <c r="B5">
        <v>0.14099999999999999</v>
      </c>
      <c r="C5">
        <v>0.14499999999999999</v>
      </c>
      <c r="D5">
        <v>8.4000000000000005E-2</v>
      </c>
      <c r="E5">
        <v>8.1000000000000003E-2</v>
      </c>
      <c r="F5">
        <v>0.10199999999999999</v>
      </c>
      <c r="G5">
        <v>0.11</v>
      </c>
      <c r="H5">
        <v>7.6999999999999999E-2</v>
      </c>
      <c r="I5">
        <v>6.6000000000000003E-2</v>
      </c>
      <c r="J5">
        <v>9.4E-2</v>
      </c>
      <c r="K5">
        <v>0.11799999999999999</v>
      </c>
      <c r="L5">
        <v>0.114</v>
      </c>
      <c r="M5">
        <v>0.107</v>
      </c>
    </row>
    <row r="6" spans="1:25" x14ac:dyDescent="0.25">
      <c r="A6" t="s">
        <v>16</v>
      </c>
      <c r="B6">
        <v>0.17299999999999999</v>
      </c>
      <c r="C6">
        <v>0.186</v>
      </c>
      <c r="D6">
        <v>8.4000000000000005E-2</v>
      </c>
      <c r="E6">
        <v>9.0999999999999998E-2</v>
      </c>
      <c r="F6">
        <v>0.11899999999999999</v>
      </c>
      <c r="G6">
        <v>0.20499999999999999</v>
      </c>
      <c r="H6">
        <v>7.0000000000000007E-2</v>
      </c>
      <c r="I6">
        <v>0.111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25" x14ac:dyDescent="0.25">
      <c r="A7" t="s">
        <v>17</v>
      </c>
      <c r="B7">
        <v>0.13500000000000001</v>
      </c>
      <c r="C7">
        <v>0.14799999999999999</v>
      </c>
      <c r="D7">
        <v>8.3000000000000004E-2</v>
      </c>
      <c r="E7">
        <v>8.8999999999999996E-2</v>
      </c>
      <c r="F7">
        <v>0.11600000000000001</v>
      </c>
      <c r="G7">
        <v>0.108</v>
      </c>
      <c r="H7">
        <v>9.6000000000000002E-2</v>
      </c>
      <c r="I7">
        <v>8.2000000000000003E-2</v>
      </c>
      <c r="J7">
        <v>6.9000000000000006E-2</v>
      </c>
      <c r="K7">
        <v>6.9000000000000006E-2</v>
      </c>
      <c r="L7">
        <v>0.64800000000000002</v>
      </c>
      <c r="M7">
        <v>9.7000000000000003E-2</v>
      </c>
    </row>
    <row r="8" spans="1:25" x14ac:dyDescent="0.25">
      <c r="A8" t="s">
        <v>18</v>
      </c>
      <c r="B8">
        <v>0.122</v>
      </c>
      <c r="C8">
        <v>9.0999999999999998E-2</v>
      </c>
      <c r="D8">
        <v>7.6999999999999999E-2</v>
      </c>
      <c r="E8">
        <v>7.4999999999999997E-2</v>
      </c>
      <c r="F8">
        <v>9.8000000000000004E-2</v>
      </c>
      <c r="G8">
        <v>0.08</v>
      </c>
      <c r="H8">
        <v>7.6999999999999999E-2</v>
      </c>
      <c r="I8">
        <v>5.8000000000000003E-2</v>
      </c>
      <c r="J8">
        <v>0.05</v>
      </c>
      <c r="K8">
        <v>6.2E-2</v>
      </c>
      <c r="L8">
        <v>0.36899999999999999</v>
      </c>
      <c r="M8">
        <v>9.8000000000000004E-2</v>
      </c>
    </row>
    <row r="9" spans="1:25" x14ac:dyDescent="0.25">
      <c r="A9" t="s">
        <v>19</v>
      </c>
      <c r="B9">
        <v>0.152</v>
      </c>
      <c r="C9">
        <v>0.16500000000000001</v>
      </c>
      <c r="D9">
        <v>0.10199999999999999</v>
      </c>
      <c r="E9">
        <v>0.106</v>
      </c>
      <c r="F9">
        <v>0.11799999999999999</v>
      </c>
      <c r="G9">
        <v>0.10100000000000001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25" x14ac:dyDescent="0.25">
      <c r="A10" t="s">
        <v>20</v>
      </c>
      <c r="B10">
        <v>0.20699999999999999</v>
      </c>
      <c r="C10">
        <v>0.223</v>
      </c>
      <c r="D10">
        <v>0.104</v>
      </c>
      <c r="E10">
        <v>0.111</v>
      </c>
      <c r="F10">
        <v>0.23599999999999999</v>
      </c>
      <c r="G10">
        <v>0.161</v>
      </c>
      <c r="H10">
        <v>9.7000000000000003E-2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25" x14ac:dyDescent="0.25">
      <c r="A15" t="s">
        <v>13</v>
      </c>
      <c r="B15" s="3">
        <f xml:space="preserve"> B3 - '+0 seg'!$B$3</f>
        <v>0</v>
      </c>
      <c r="C15" s="3">
        <f xml:space="preserve"> C3 - '+0 seg'!$C$3</f>
        <v>0</v>
      </c>
      <c r="D15" s="3">
        <f xml:space="preserve"> D3 - '+0 seg'!$D$3</f>
        <v>2.0000000000000018E-3</v>
      </c>
      <c r="E15" s="3">
        <f xml:space="preserve"> E3 - '+0 seg'!$E$3</f>
        <v>2.0000000000000018E-3</v>
      </c>
      <c r="F15" s="3">
        <f xml:space="preserve"> F3 - '+0 seg'!$F$3</f>
        <v>-4.0000000000000036E-3</v>
      </c>
      <c r="G15" s="3">
        <f xml:space="preserve"> G3 - '+0 seg'!$G$3</f>
        <v>1.0000000000000009E-3</v>
      </c>
      <c r="H15" s="3">
        <f xml:space="preserve"> H3 - '+0 seg'!$H$3</f>
        <v>0</v>
      </c>
      <c r="I15" s="3">
        <f xml:space="preserve"> I3 - '+0 seg'!$I$3</f>
        <v>0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  <c r="O15" s="3"/>
      <c r="Q15" s="3"/>
      <c r="S15" s="3"/>
      <c r="U15" s="3"/>
      <c r="W15" s="3"/>
      <c r="Y15" s="3"/>
    </row>
    <row r="16" spans="1:25" x14ac:dyDescent="0.25">
      <c r="A16" t="s">
        <v>14</v>
      </c>
      <c r="B16" s="3">
        <f xml:space="preserve"> B4 - '+0 seg'!$B$4</f>
        <v>0</v>
      </c>
      <c r="C16" s="3">
        <f xml:space="preserve"> C4 - '+0 seg'!$C$4</f>
        <v>0</v>
      </c>
      <c r="D16" s="3">
        <f xml:space="preserve"> D4 - '+0 seg'!$D$4</f>
        <v>3.0000000000000027E-3</v>
      </c>
      <c r="E16" s="3">
        <f xml:space="preserve"> E4 - '+0 seg'!$E$4</f>
        <v>3.9999999999999897E-3</v>
      </c>
      <c r="F16" s="3">
        <f xml:space="preserve"> F4 - '+0 seg'!$F$4</f>
        <v>4.0000000000000036E-3</v>
      </c>
      <c r="G16" s="3">
        <f xml:space="preserve"> G4 - '+0 seg'!$G$4</f>
        <v>2.0000000000000018E-3</v>
      </c>
      <c r="H16" s="3">
        <f xml:space="preserve"> H4 - '+0 seg'!$H$4</f>
        <v>4.0000000000000036E-3</v>
      </c>
      <c r="I16" s="3">
        <f xml:space="preserve"> I4 - '+0 seg'!$I$4</f>
        <v>3.0000000000000027E-3</v>
      </c>
      <c r="J16" s="3">
        <f xml:space="preserve"> J4 - '+0 seg'!$J$4</f>
        <v>0</v>
      </c>
      <c r="K16" s="3">
        <f xml:space="preserve"> K4 - '+0 seg'!$K$4</f>
        <v>1.0000000000000009E-3</v>
      </c>
      <c r="L16" s="3">
        <f xml:space="preserve"> L4 - '+0 seg'!$L$4</f>
        <v>-1.0000000000000009E-3</v>
      </c>
      <c r="M16" s="3">
        <f xml:space="preserve"> M4 - '+0 seg'!$M$4</f>
        <v>0</v>
      </c>
      <c r="O16" s="3"/>
      <c r="Q16" s="3"/>
      <c r="S16" s="3"/>
      <c r="U16" s="3"/>
      <c r="W16" s="3"/>
      <c r="Y16" s="3"/>
    </row>
    <row r="17" spans="1:25" x14ac:dyDescent="0.25">
      <c r="A17" t="s">
        <v>15</v>
      </c>
      <c r="B17" s="3">
        <f xml:space="preserve"> B5 - '+0 seg'!$B$5</f>
        <v>0</v>
      </c>
      <c r="C17" s="3">
        <f xml:space="preserve"> C5 - '+0 seg'!$C$5</f>
        <v>3.0000000000000027E-3</v>
      </c>
      <c r="D17" s="3">
        <f xml:space="preserve"> D5 - '+0 seg'!$D$5</f>
        <v>4.0000000000000036E-3</v>
      </c>
      <c r="E17" s="3">
        <f xml:space="preserve"> E5 - '+0 seg'!$E$5</f>
        <v>1.0000000000000009E-3</v>
      </c>
      <c r="F17" s="3">
        <f xml:space="preserve"> F5 - '+0 seg'!$F$5</f>
        <v>9.9999999999998701E-4</v>
      </c>
      <c r="G17" s="3">
        <f xml:space="preserve"> G5 - '+0 seg'!$G$5</f>
        <v>-6.0000000000000053E-3</v>
      </c>
      <c r="H17" s="3">
        <f xml:space="preserve"> H5 - '+0 seg'!$H$5</f>
        <v>2.0000000000000018E-3</v>
      </c>
      <c r="I17" s="3">
        <f xml:space="preserve"> I5 - '+0 seg'!$I$5</f>
        <v>-3.0000000000000027E-3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  <c r="O17" s="3"/>
      <c r="Q17" s="3"/>
      <c r="S17" s="3"/>
      <c r="U17" s="3"/>
      <c r="W17" s="3"/>
      <c r="Y17" s="3"/>
    </row>
    <row r="18" spans="1:25" x14ac:dyDescent="0.25">
      <c r="A18" t="s">
        <v>16</v>
      </c>
      <c r="B18" s="3">
        <f xml:space="preserve"> B6 - '+0 seg'!$B$6</f>
        <v>1.999999999999974E-3</v>
      </c>
      <c r="C18" s="3">
        <f xml:space="preserve"> C6 - '+0 seg'!$C$6</f>
        <v>2.0000000000000018E-3</v>
      </c>
      <c r="D18" s="3">
        <f xml:space="preserve"> D6 - '+0 seg'!$D$6</f>
        <v>2.0000000000000018E-3</v>
      </c>
      <c r="E18" s="3">
        <f xml:space="preserve"> E6 - '+0 seg'!$E$6</f>
        <v>0</v>
      </c>
      <c r="F18" s="3">
        <f xml:space="preserve"> F6 - '+0 seg'!$F$6</f>
        <v>1.9999999999999879E-3</v>
      </c>
      <c r="G18" s="3">
        <f xml:space="preserve"> G6 - '+0 seg'!$G$6</f>
        <v>5.9999999999999776E-3</v>
      </c>
      <c r="H18" s="3">
        <f xml:space="preserve"> H6 - '+0 seg'!$H$6</f>
        <v>2.0000000000000018E-3</v>
      </c>
      <c r="I18" s="3">
        <f xml:space="preserve"> I6 - '+0 seg'!$I$6</f>
        <v>2.0000000000000018E-3</v>
      </c>
      <c r="J18" s="3">
        <f xml:space="preserve"> J6 - '+0 seg'!$J$6</f>
        <v>0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  <c r="O18" s="3"/>
      <c r="Q18" s="3"/>
      <c r="S18" s="3"/>
      <c r="U18" s="3"/>
      <c r="W18" s="3"/>
      <c r="Y18" s="3"/>
    </row>
    <row r="19" spans="1:25" x14ac:dyDescent="0.25">
      <c r="A19" t="s">
        <v>17</v>
      </c>
      <c r="B19" s="3">
        <f xml:space="preserve"> B7 - '+0 seg'!$B$7</f>
        <v>1.0000000000000009E-3</v>
      </c>
      <c r="C19" s="3">
        <f xml:space="preserve"> C7 - '+0 seg'!$C$7</f>
        <v>-3.0000000000000027E-3</v>
      </c>
      <c r="D19" s="3">
        <f xml:space="preserve"> D7 - '+0 seg'!$D$7</f>
        <v>3.0000000000000027E-3</v>
      </c>
      <c r="E19" s="3">
        <f xml:space="preserve"> E7 - '+0 seg'!$E$7</f>
        <v>1.0000000000000009E-3</v>
      </c>
      <c r="F19" s="3">
        <f xml:space="preserve"> F7 - '+0 seg'!$F$7</f>
        <v>4.0000000000000036E-3</v>
      </c>
      <c r="G19" s="3">
        <f xml:space="preserve"> G7 - '+0 seg'!$G$7</f>
        <v>5.0000000000000044E-3</v>
      </c>
      <c r="H19" s="3">
        <f xml:space="preserve"> H7 - '+0 seg'!$H$7</f>
        <v>2.0000000000000018E-3</v>
      </c>
      <c r="I19" s="3">
        <f xml:space="preserve"> I7 - '+0 seg'!$I$7</f>
        <v>-2.0000000000000018E-3</v>
      </c>
      <c r="J19" s="3">
        <f xml:space="preserve"> J7 - '+0 seg'!$J$7</f>
        <v>0</v>
      </c>
      <c r="K19" s="3">
        <f xml:space="preserve"> K7 - '+0 seg'!$K$7</f>
        <v>0</v>
      </c>
      <c r="L19" s="3">
        <f xml:space="preserve"> L7 - '+0 seg'!$L$7</f>
        <v>5.0000000000000044E-3</v>
      </c>
      <c r="M19" s="3">
        <f xml:space="preserve"> M7 - '+0 seg'!$M$7</f>
        <v>0</v>
      </c>
      <c r="O19" s="3"/>
      <c r="Q19" s="3"/>
      <c r="S19" s="3"/>
      <c r="U19" s="3"/>
      <c r="W19" s="3"/>
      <c r="Y19" s="3"/>
    </row>
    <row r="20" spans="1:25" x14ac:dyDescent="0.25">
      <c r="A20" t="s">
        <v>18</v>
      </c>
      <c r="B20" s="3">
        <f xml:space="preserve"> B8 - '+0 seg'!$B$8</f>
        <v>5.9999999999999915E-3</v>
      </c>
      <c r="C20" s="3">
        <f xml:space="preserve"> C8 - '+0 seg'!$C$8</f>
        <v>0</v>
      </c>
      <c r="D20" s="3">
        <f xml:space="preserve"> D8 - '+0 seg'!$D$8</f>
        <v>-2.0000000000000018E-3</v>
      </c>
      <c r="E20" s="3">
        <f xml:space="preserve"> E8 - '+0 seg'!$E$8</f>
        <v>0</v>
      </c>
      <c r="F20" s="3">
        <f xml:space="preserve"> F8 - '+0 seg'!$F$8</f>
        <v>2.0000000000000018E-3</v>
      </c>
      <c r="G20" s="3">
        <f xml:space="preserve"> G8 - '+0 seg'!$G$8</f>
        <v>1.0000000000000009E-3</v>
      </c>
      <c r="H20" s="3">
        <f xml:space="preserve"> H8 - '+0 seg'!$H$8</f>
        <v>1.0000000000000009E-3</v>
      </c>
      <c r="I20" s="3">
        <f xml:space="preserve"> I8 - '+0 seg'!$I$8</f>
        <v>-9.9999999999999395E-4</v>
      </c>
      <c r="J20" s="3">
        <f xml:space="preserve"> J8 - '+0 seg'!$J$8</f>
        <v>-9.9999999999999395E-4</v>
      </c>
      <c r="K20" s="3">
        <f xml:space="preserve"> K8 - '+0 seg'!$K$8</f>
        <v>0</v>
      </c>
      <c r="L20" s="3">
        <f xml:space="preserve"> L8 - '+0 seg'!$L$8</f>
        <v>0</v>
      </c>
      <c r="M20" s="3">
        <f xml:space="preserve"> M8 - '+0 seg'!$M$8</f>
        <v>1.0000000000000009E-3</v>
      </c>
      <c r="O20" s="3"/>
      <c r="Q20" s="3"/>
      <c r="S20" s="3"/>
      <c r="U20" s="3"/>
      <c r="W20" s="3"/>
      <c r="Y20" s="3"/>
    </row>
    <row r="21" spans="1:25" x14ac:dyDescent="0.25">
      <c r="A21" t="s">
        <v>19</v>
      </c>
      <c r="B21" s="3">
        <f xml:space="preserve"> B9 - '+0 seg'!$B$9</f>
        <v>1.0000000000000009E-3</v>
      </c>
      <c r="C21" s="3">
        <f xml:space="preserve"> C9 - '+0 seg'!$C$9</f>
        <v>3.0000000000000027E-3</v>
      </c>
      <c r="D21" s="3">
        <f xml:space="preserve"> D9 - '+0 seg'!$D$9</f>
        <v>1.9999999999999879E-3</v>
      </c>
      <c r="E21" s="3">
        <f xml:space="preserve"> E9 - '+0 seg'!$E$9</f>
        <v>1.0000000000000009E-3</v>
      </c>
      <c r="F21" s="3">
        <f xml:space="preserve"> F9 - '+0 seg'!$F$9</f>
        <v>1.9999999999999879E-3</v>
      </c>
      <c r="G21" s="3">
        <f xml:space="preserve"> G9 - '+0 seg'!$G$9</f>
        <v>3.0000000000000027E-3</v>
      </c>
      <c r="H21" s="3">
        <f xml:space="preserve"> H9 - '+0 seg'!$H$9</f>
        <v>0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  <c r="O21" s="3"/>
      <c r="Q21" s="3"/>
      <c r="S21" s="3"/>
      <c r="U21" s="3"/>
      <c r="W21" s="3"/>
      <c r="Y21" s="3"/>
    </row>
    <row r="22" spans="1:25" x14ac:dyDescent="0.25">
      <c r="A22" t="s">
        <v>20</v>
      </c>
      <c r="B22" s="3">
        <f xml:space="preserve"> B10 - '+0 seg'!$B$10</f>
        <v>-1.2000000000000011E-2</v>
      </c>
      <c r="C22" s="3">
        <f xml:space="preserve"> C10 - '+0 seg'!$C$10</f>
        <v>1.8000000000000016E-2</v>
      </c>
      <c r="D22" s="3">
        <f xml:space="preserve"> D10 - '+0 seg'!$D$10</f>
        <v>-1.0000000000000009E-3</v>
      </c>
      <c r="E22" s="3">
        <f xml:space="preserve"> E10 - '+0 seg'!$E$10</f>
        <v>-1.0000000000000009E-3</v>
      </c>
      <c r="F22" s="3">
        <f xml:space="preserve"> F10 - '+0 seg'!$F$10</f>
        <v>9.9999999999999811E-3</v>
      </c>
      <c r="G22" s="3">
        <f xml:space="preserve"> G10 - '+0 seg'!$G$10</f>
        <v>2.0000000000000018E-3</v>
      </c>
      <c r="H22" s="3">
        <f xml:space="preserve"> H10 - '+0 seg'!$H$10</f>
        <v>0</v>
      </c>
      <c r="I22" s="3">
        <f xml:space="preserve"> I10 - '+0 seg'!$I$10</f>
        <v>1.0000000000000009E-3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0</v>
      </c>
      <c r="O22" s="3"/>
      <c r="Q22" s="3"/>
      <c r="S22" s="3"/>
      <c r="U22" s="3"/>
      <c r="W22" s="3"/>
      <c r="Y22" s="3"/>
    </row>
    <row r="25" spans="1:25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25" x14ac:dyDescent="0.25">
      <c r="A26" t="s">
        <v>13</v>
      </c>
      <c r="B26" s="3">
        <f>AVERAGE(B15:C15)</f>
        <v>0</v>
      </c>
      <c r="C26" s="3">
        <f>STDEV(B15:C15)</f>
        <v>0</v>
      </c>
      <c r="D26" s="3">
        <f t="shared" ref="D26:H33" si="0">AVERAGE(D15:E15)</f>
        <v>2.0000000000000018E-3</v>
      </c>
      <c r="E26" s="3">
        <f>STDEV(D15:E15)</f>
        <v>0</v>
      </c>
      <c r="F26" s="3">
        <f t="shared" si="0"/>
        <v>-1.5000000000000013E-3</v>
      </c>
      <c r="G26" s="3">
        <f>STDEV(F15:G15)</f>
        <v>3.5355339059327407E-3</v>
      </c>
      <c r="H26" s="3">
        <f t="shared" si="0"/>
        <v>0</v>
      </c>
      <c r="I26" s="3">
        <f>STDEV(H15:I15)</f>
        <v>0</v>
      </c>
      <c r="J26" s="3">
        <f>AVERAGE(J15:J16)</f>
        <v>0</v>
      </c>
      <c r="K26" s="3">
        <f>STDEV(J15:J16)</f>
        <v>0</v>
      </c>
      <c r="L26" s="3">
        <f>AVERAGE(K15:K16)</f>
        <v>-1.4999999999999979E-3</v>
      </c>
      <c r="M26" s="3">
        <f>STDEV(K15:K16)</f>
        <v>3.5355339059327355E-3</v>
      </c>
    </row>
    <row r="27" spans="1:25" x14ac:dyDescent="0.25">
      <c r="A27" t="s">
        <v>14</v>
      </c>
      <c r="B27" s="3">
        <f t="shared" ref="B27:B33" si="1">AVERAGE(B16:C16)</f>
        <v>0</v>
      </c>
      <c r="C27" s="3">
        <f t="shared" ref="C27:E33" si="2">STDEV(B16:C16)</f>
        <v>0</v>
      </c>
      <c r="D27" s="3">
        <f t="shared" si="0"/>
        <v>3.4999999999999962E-3</v>
      </c>
      <c r="E27" s="3">
        <f t="shared" si="2"/>
        <v>7.0710678118653841E-4</v>
      </c>
      <c r="F27" s="3">
        <f t="shared" si="0"/>
        <v>3.0000000000000027E-3</v>
      </c>
      <c r="G27" s="3">
        <f t="shared" ref="G27:G33" si="3">STDEV(F16:G16)</f>
        <v>1.4142135623730963E-3</v>
      </c>
      <c r="H27" s="3">
        <f t="shared" si="0"/>
        <v>3.5000000000000031E-3</v>
      </c>
      <c r="I27" s="3">
        <f t="shared" ref="I27:I33" si="4">STDEV(H16:I16)</f>
        <v>7.0710678118654816E-4</v>
      </c>
      <c r="L27" s="3"/>
      <c r="M27" s="3"/>
    </row>
    <row r="28" spans="1:25" x14ac:dyDescent="0.25">
      <c r="A28" t="s">
        <v>15</v>
      </c>
      <c r="B28" s="3">
        <f t="shared" si="1"/>
        <v>1.5000000000000013E-3</v>
      </c>
      <c r="C28" s="3">
        <f t="shared" si="2"/>
        <v>2.1213203435596446E-3</v>
      </c>
      <c r="D28" s="3">
        <f t="shared" si="0"/>
        <v>2.5000000000000022E-3</v>
      </c>
      <c r="E28" s="3">
        <f t="shared" si="2"/>
        <v>2.1213203435596446E-3</v>
      </c>
      <c r="F28" s="3">
        <f t="shared" si="0"/>
        <v>-2.5000000000000092E-3</v>
      </c>
      <c r="G28" s="3">
        <f t="shared" si="3"/>
        <v>4.9497474683058273E-3</v>
      </c>
      <c r="H28" s="3">
        <f t="shared" si="0"/>
        <v>-5.0000000000000044E-4</v>
      </c>
      <c r="I28" s="3">
        <f t="shared" si="4"/>
        <v>3.5355339059327407E-3</v>
      </c>
      <c r="J28" s="3"/>
      <c r="K28" s="3"/>
      <c r="L28" s="3"/>
      <c r="M28" s="3"/>
    </row>
    <row r="29" spans="1:25" x14ac:dyDescent="0.25">
      <c r="A29" t="s">
        <v>16</v>
      </c>
      <c r="B29" s="3">
        <f t="shared" si="1"/>
        <v>1.9999999999999879E-3</v>
      </c>
      <c r="C29" s="3">
        <f t="shared" si="2"/>
        <v>1.962615573354719E-17</v>
      </c>
      <c r="D29" s="3">
        <f t="shared" si="0"/>
        <v>1.0000000000000009E-3</v>
      </c>
      <c r="E29" s="3">
        <f t="shared" si="2"/>
        <v>1.4142135623730963E-3</v>
      </c>
      <c r="F29" s="3">
        <f t="shared" si="0"/>
        <v>3.9999999999999827E-3</v>
      </c>
      <c r="G29" s="3">
        <f t="shared" si="3"/>
        <v>2.8284271247461835E-3</v>
      </c>
      <c r="H29" s="3">
        <f t="shared" si="0"/>
        <v>2.0000000000000018E-3</v>
      </c>
      <c r="I29" s="3">
        <f t="shared" si="4"/>
        <v>0</v>
      </c>
      <c r="J29" s="3"/>
      <c r="K29" s="3"/>
      <c r="L29" s="3"/>
      <c r="M29" s="3"/>
    </row>
    <row r="30" spans="1:25" x14ac:dyDescent="0.25">
      <c r="A30" t="s">
        <v>17</v>
      </c>
      <c r="B30" s="3">
        <f t="shared" si="1"/>
        <v>-1.0000000000000009E-3</v>
      </c>
      <c r="C30" s="3">
        <f t="shared" si="2"/>
        <v>2.8284271247461927E-3</v>
      </c>
      <c r="D30" s="3">
        <f t="shared" si="0"/>
        <v>2.0000000000000018E-3</v>
      </c>
      <c r="E30" s="3">
        <f t="shared" si="2"/>
        <v>1.4142135623730961E-3</v>
      </c>
      <c r="F30" s="3">
        <f t="shared" si="0"/>
        <v>4.500000000000004E-3</v>
      </c>
      <c r="G30" s="3">
        <f t="shared" si="3"/>
        <v>7.0710678118654816E-4</v>
      </c>
      <c r="H30" s="3">
        <f t="shared" si="0"/>
        <v>0</v>
      </c>
      <c r="I30" s="3">
        <f t="shared" si="4"/>
        <v>2.8284271247461927E-3</v>
      </c>
      <c r="J30" s="3">
        <f>AVERAGE(J19:J20)</f>
        <v>-4.9999999999999697E-4</v>
      </c>
      <c r="K30" s="3">
        <f>STDEV(J19:J20)</f>
        <v>7.0710678118654328E-4</v>
      </c>
      <c r="L30" s="3">
        <f>AVERAGE(K19:K20)</f>
        <v>0</v>
      </c>
      <c r="M30" s="3">
        <f>STDEV(K19:K20)</f>
        <v>0</v>
      </c>
    </row>
    <row r="31" spans="1:25" x14ac:dyDescent="0.25">
      <c r="A31" t="s">
        <v>18</v>
      </c>
      <c r="B31" s="3">
        <f t="shared" si="1"/>
        <v>2.9999999999999957E-3</v>
      </c>
      <c r="C31" s="3">
        <f t="shared" si="2"/>
        <v>4.2426406871192788E-3</v>
      </c>
      <c r="D31" s="3">
        <f t="shared" si="0"/>
        <v>-1.0000000000000009E-3</v>
      </c>
      <c r="E31" s="3">
        <f t="shared" si="2"/>
        <v>1.4142135623730963E-3</v>
      </c>
      <c r="F31" s="3">
        <f t="shared" si="0"/>
        <v>1.5000000000000013E-3</v>
      </c>
      <c r="G31" s="3">
        <f t="shared" si="3"/>
        <v>7.0710678118654816E-4</v>
      </c>
      <c r="H31" s="3">
        <f t="shared" si="0"/>
        <v>3.4694469519536142E-18</v>
      </c>
      <c r="I31" s="3">
        <f t="shared" si="4"/>
        <v>1.4142135623730913E-3</v>
      </c>
      <c r="L31" s="3"/>
      <c r="M31" s="3"/>
    </row>
    <row r="32" spans="1:25" x14ac:dyDescent="0.25">
      <c r="A32" t="s">
        <v>19</v>
      </c>
      <c r="B32" s="3">
        <f t="shared" si="1"/>
        <v>2.0000000000000018E-3</v>
      </c>
      <c r="C32" s="3">
        <f t="shared" si="2"/>
        <v>1.4142135623730961E-3</v>
      </c>
      <c r="D32" s="3">
        <f t="shared" si="0"/>
        <v>1.4999999999999944E-3</v>
      </c>
      <c r="E32" s="3">
        <f t="shared" si="2"/>
        <v>7.0710678118653841E-4</v>
      </c>
      <c r="F32" s="3">
        <f t="shared" si="0"/>
        <v>2.4999999999999953E-3</v>
      </c>
      <c r="G32" s="3">
        <f t="shared" si="3"/>
        <v>7.0710678118655803E-4</v>
      </c>
      <c r="H32" s="3">
        <f t="shared" si="0"/>
        <v>0</v>
      </c>
      <c r="I32" s="3">
        <f t="shared" si="4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3.0000000000000027E-3</v>
      </c>
      <c r="C33" s="3">
        <f t="shared" si="2"/>
        <v>2.1213203435596444E-2</v>
      </c>
      <c r="D33" s="3">
        <f t="shared" si="0"/>
        <v>-1.0000000000000009E-3</v>
      </c>
      <c r="E33" s="3">
        <f t="shared" si="2"/>
        <v>0</v>
      </c>
      <c r="F33" s="3">
        <f t="shared" si="0"/>
        <v>5.9999999999999915E-3</v>
      </c>
      <c r="G33" s="3">
        <f t="shared" si="3"/>
        <v>5.6568542494923654E-3</v>
      </c>
      <c r="H33" s="3">
        <f t="shared" si="0"/>
        <v>5.0000000000000044E-4</v>
      </c>
      <c r="I33" s="3">
        <f t="shared" si="4"/>
        <v>7.0710678118654816E-4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cols>
    <col min="1" max="13" width="10.85546875" customWidth="1"/>
  </cols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9.9000000000000005E-2</v>
      </c>
      <c r="C3">
        <v>8.5999999999999993E-2</v>
      </c>
      <c r="D3">
        <v>7.5999999999999998E-2</v>
      </c>
      <c r="E3">
        <v>9.0999999999999998E-2</v>
      </c>
      <c r="F3">
        <v>0.14299999999999999</v>
      </c>
      <c r="G3">
        <v>0.11700000000000001</v>
      </c>
      <c r="H3">
        <v>8.3000000000000004E-2</v>
      </c>
      <c r="I3">
        <v>6.0999999999999999E-2</v>
      </c>
      <c r="J3">
        <v>0.05</v>
      </c>
      <c r="K3">
        <v>4.8000000000000001E-2</v>
      </c>
      <c r="L3">
        <v>0.12</v>
      </c>
      <c r="M3">
        <v>9.1999999999999998E-2</v>
      </c>
    </row>
    <row r="4" spans="1:13" x14ac:dyDescent="0.25">
      <c r="A4" t="s">
        <v>14</v>
      </c>
      <c r="B4">
        <v>0.129</v>
      </c>
      <c r="C4">
        <v>0.14099999999999999</v>
      </c>
      <c r="D4">
        <v>7.9000000000000001E-2</v>
      </c>
      <c r="E4">
        <v>8.6999999999999994E-2</v>
      </c>
      <c r="F4">
        <v>0.15</v>
      </c>
      <c r="G4">
        <v>0.129</v>
      </c>
      <c r="H4">
        <v>9.6000000000000002E-2</v>
      </c>
      <c r="I4">
        <v>9.5000000000000001E-2</v>
      </c>
      <c r="J4">
        <v>6.0999999999999999E-2</v>
      </c>
      <c r="K4">
        <v>5.2999999999999999E-2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0.14199999999999999</v>
      </c>
      <c r="C5">
        <v>0.14599999999999999</v>
      </c>
      <c r="D5">
        <v>8.4000000000000005E-2</v>
      </c>
      <c r="E5">
        <v>0.08</v>
      </c>
      <c r="F5">
        <v>0.10199999999999999</v>
      </c>
      <c r="G5">
        <v>0.109</v>
      </c>
      <c r="H5">
        <v>7.8E-2</v>
      </c>
      <c r="I5">
        <v>6.4000000000000001E-2</v>
      </c>
      <c r="J5">
        <v>9.2999999999999999E-2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0.17399999999999999</v>
      </c>
      <c r="C6">
        <v>0.186</v>
      </c>
      <c r="D6">
        <v>8.3000000000000004E-2</v>
      </c>
      <c r="E6">
        <v>9.0999999999999998E-2</v>
      </c>
      <c r="F6">
        <v>0.11899999999999999</v>
      </c>
      <c r="G6">
        <v>0.20599999999999999</v>
      </c>
      <c r="H6">
        <v>7.0000000000000007E-2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25">
      <c r="A7" t="s">
        <v>17</v>
      </c>
      <c r="B7">
        <v>0.13600000000000001</v>
      </c>
      <c r="C7">
        <v>0.15</v>
      </c>
      <c r="D7">
        <v>8.2000000000000003E-2</v>
      </c>
      <c r="E7">
        <v>0.09</v>
      </c>
      <c r="F7">
        <v>0.11600000000000001</v>
      </c>
      <c r="G7">
        <v>0.109</v>
      </c>
      <c r="H7">
        <v>9.9000000000000005E-2</v>
      </c>
      <c r="I7">
        <v>0.08</v>
      </c>
      <c r="J7">
        <v>6.8000000000000005E-2</v>
      </c>
      <c r="K7">
        <v>6.9000000000000006E-2</v>
      </c>
      <c r="L7">
        <v>0.65300000000000002</v>
      </c>
      <c r="M7">
        <v>9.7000000000000003E-2</v>
      </c>
    </row>
    <row r="8" spans="1:13" x14ac:dyDescent="0.25">
      <c r="A8" t="s">
        <v>18</v>
      </c>
      <c r="B8">
        <v>0.121</v>
      </c>
      <c r="C8">
        <v>9.1999999999999998E-2</v>
      </c>
      <c r="D8">
        <v>7.5999999999999998E-2</v>
      </c>
      <c r="E8">
        <v>7.5999999999999998E-2</v>
      </c>
      <c r="F8">
        <v>9.9000000000000005E-2</v>
      </c>
      <c r="G8">
        <v>0.08</v>
      </c>
      <c r="H8">
        <v>7.8E-2</v>
      </c>
      <c r="I8">
        <v>5.8000000000000003E-2</v>
      </c>
      <c r="J8">
        <v>0.05</v>
      </c>
      <c r="K8">
        <v>6.2E-2</v>
      </c>
      <c r="L8">
        <v>0.37</v>
      </c>
      <c r="M8">
        <v>9.8000000000000004E-2</v>
      </c>
    </row>
    <row r="9" spans="1:13" x14ac:dyDescent="0.25">
      <c r="A9" t="s">
        <v>19</v>
      </c>
      <c r="B9">
        <v>0.153</v>
      </c>
      <c r="C9">
        <v>0.16600000000000001</v>
      </c>
      <c r="D9">
        <v>0.10199999999999999</v>
      </c>
      <c r="E9">
        <v>0.106</v>
      </c>
      <c r="F9">
        <v>0.11799999999999999</v>
      </c>
      <c r="G9">
        <v>0.10199999999999999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0.22500000000000001</v>
      </c>
      <c r="C10">
        <v>0.219</v>
      </c>
      <c r="D10">
        <v>0.104</v>
      </c>
      <c r="E10">
        <v>0.111</v>
      </c>
      <c r="F10">
        <v>0.23799999999999999</v>
      </c>
      <c r="G10">
        <v>0.16200000000000001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1.0000000000000009E-3</v>
      </c>
      <c r="C15" s="3">
        <f xml:space="preserve"> C3 - '+0 seg'!$C$3</f>
        <v>9.9999999999998701E-4</v>
      </c>
      <c r="D15" s="3">
        <f xml:space="preserve"> D3 - '+0 seg'!$D$3</f>
        <v>3.0000000000000027E-3</v>
      </c>
      <c r="E15" s="3">
        <f xml:space="preserve"> E3 - '+0 seg'!$E$3</f>
        <v>4.0000000000000036E-3</v>
      </c>
      <c r="F15" s="3">
        <f xml:space="preserve"> F3 - '+0 seg'!$F$3</f>
        <v>-4.0000000000000036E-3</v>
      </c>
      <c r="G15" s="3">
        <f xml:space="preserve"> G3 - '+0 seg'!$G$3</f>
        <v>2.0000000000000018E-3</v>
      </c>
      <c r="H15" s="3">
        <f xml:space="preserve"> H3 - '+0 seg'!$H$3</f>
        <v>0</v>
      </c>
      <c r="I15" s="3">
        <f xml:space="preserve"> I3 - '+0 seg'!$I$3</f>
        <v>0</v>
      </c>
      <c r="J15" s="3">
        <f xml:space="preserve"> J3 - '+0 seg'!$J$3</f>
        <v>-9.9999999999999395E-4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</row>
    <row r="16" spans="1:13" x14ac:dyDescent="0.25">
      <c r="A16" t="s">
        <v>14</v>
      </c>
      <c r="B16" s="3">
        <f xml:space="preserve"> B4 - '+0 seg'!$B$4</f>
        <v>1.0000000000000009E-3</v>
      </c>
      <c r="C16" s="3">
        <f xml:space="preserve"> C4 - '+0 seg'!$C$4</f>
        <v>9.9999999999997313E-4</v>
      </c>
      <c r="D16" s="3">
        <f xml:space="preserve"> D4 - '+0 seg'!$D$4</f>
        <v>3.0000000000000027E-3</v>
      </c>
      <c r="E16" s="3">
        <f xml:space="preserve"> E4 - '+0 seg'!$E$4</f>
        <v>2.9999999999999888E-3</v>
      </c>
      <c r="F16" s="3">
        <f xml:space="preserve"> F4 - '+0 seg'!$F$4</f>
        <v>4.0000000000000036E-3</v>
      </c>
      <c r="G16" s="3">
        <f xml:space="preserve"> G4 - '+0 seg'!$G$4</f>
        <v>2.0000000000000018E-3</v>
      </c>
      <c r="H16" s="3">
        <f xml:space="preserve"> H4 - '+0 seg'!$H$4</f>
        <v>5.0000000000000044E-3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1.0000000000000009E-3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1.0000000000000009E-3</v>
      </c>
      <c r="C17" s="3">
        <f xml:space="preserve"> C5 - '+0 seg'!$C$5</f>
        <v>4.0000000000000036E-3</v>
      </c>
      <c r="D17" s="3">
        <f xml:space="preserve"> D5 - '+0 seg'!$D$5</f>
        <v>4.0000000000000036E-3</v>
      </c>
      <c r="E17" s="3">
        <f xml:space="preserve"> E5 - '+0 seg'!$E$5</f>
        <v>0</v>
      </c>
      <c r="F17" s="3">
        <f xml:space="preserve"> F5 - '+0 seg'!$F$5</f>
        <v>9.9999999999998701E-4</v>
      </c>
      <c r="G17" s="3">
        <f xml:space="preserve"> G5 - '+0 seg'!$G$5</f>
        <v>-7.0000000000000062E-3</v>
      </c>
      <c r="H17" s="3">
        <f xml:space="preserve"> H5 - '+0 seg'!$H$5</f>
        <v>3.0000000000000027E-3</v>
      </c>
      <c r="I17" s="3">
        <f xml:space="preserve"> I5 - '+0 seg'!$I$5</f>
        <v>-5.0000000000000044E-3</v>
      </c>
      <c r="J17" s="3">
        <f xml:space="preserve"> J5 - '+0 seg'!$J$5</f>
        <v>-1.0000000000000009E-3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2.9999999999999749E-3</v>
      </c>
      <c r="C18" s="3">
        <f xml:space="preserve"> C6 - '+0 seg'!$C$6</f>
        <v>2.0000000000000018E-3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1.9999999999999879E-3</v>
      </c>
      <c r="G18" s="3">
        <f xml:space="preserve"> G6 - '+0 seg'!$G$6</f>
        <v>6.9999999999999785E-3</v>
      </c>
      <c r="H18" s="3">
        <f xml:space="preserve"> H6 - '+0 seg'!$H$6</f>
        <v>2.0000000000000018E-3</v>
      </c>
      <c r="I18" s="3">
        <f xml:space="preserve"> I6 - '+0 seg'!$I$6</f>
        <v>0</v>
      </c>
      <c r="J18" s="3">
        <f xml:space="preserve"> J6 - '+0 seg'!$J$6</f>
        <v>0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-1.0000000000000009E-3</v>
      </c>
      <c r="D19" s="3">
        <f xml:space="preserve"> D7 - '+0 seg'!$D$7</f>
        <v>2.0000000000000018E-3</v>
      </c>
      <c r="E19" s="3">
        <f xml:space="preserve"> E7 - '+0 seg'!$E$7</f>
        <v>2.0000000000000018E-3</v>
      </c>
      <c r="F19" s="3">
        <f xml:space="preserve"> F7 - '+0 seg'!$F$7</f>
        <v>4.0000000000000036E-3</v>
      </c>
      <c r="G19" s="3">
        <f xml:space="preserve"> G7 - '+0 seg'!$G$7</f>
        <v>6.0000000000000053E-3</v>
      </c>
      <c r="H19" s="3">
        <f xml:space="preserve"> H7 - '+0 seg'!$H$7</f>
        <v>5.0000000000000044E-3</v>
      </c>
      <c r="I19" s="3">
        <f xml:space="preserve"> I7 - '+0 seg'!$I$7</f>
        <v>-4.0000000000000036E-3</v>
      </c>
      <c r="J19" s="3">
        <f xml:space="preserve"> J7 - '+0 seg'!$J$7</f>
        <v>-1.0000000000000009E-3</v>
      </c>
      <c r="K19" s="3">
        <f xml:space="preserve"> K7 - '+0 seg'!$K$7</f>
        <v>0</v>
      </c>
      <c r="L19" s="3">
        <f xml:space="preserve"> L7 - '+0 seg'!$L$7</f>
        <v>1.0000000000000009E-2</v>
      </c>
      <c r="M19" s="3">
        <f xml:space="preserve"> M7 - '+0 seg'!$M$7</f>
        <v>0</v>
      </c>
    </row>
    <row r="20" spans="1:13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1.0000000000000009E-3</v>
      </c>
      <c r="D20" s="3">
        <f xml:space="preserve"> D8 - '+0 seg'!$D$8</f>
        <v>-3.0000000000000027E-3</v>
      </c>
      <c r="E20" s="3">
        <f xml:space="preserve"> E8 - '+0 seg'!$E$8</f>
        <v>1.0000000000000009E-3</v>
      </c>
      <c r="F20" s="3">
        <f xml:space="preserve"> F8 - '+0 seg'!$F$8</f>
        <v>3.0000000000000027E-3</v>
      </c>
      <c r="G20" s="3">
        <f xml:space="preserve"> G8 - '+0 seg'!$G$8</f>
        <v>1.0000000000000009E-3</v>
      </c>
      <c r="H20" s="3">
        <f xml:space="preserve"> H8 - '+0 seg'!$H$8</f>
        <v>2.0000000000000018E-3</v>
      </c>
      <c r="I20" s="3">
        <f xml:space="preserve"> I8 - '+0 seg'!$I$8</f>
        <v>-9.9999999999999395E-4</v>
      </c>
      <c r="J20" s="3">
        <f xml:space="preserve"> J8 - '+0 seg'!$J$8</f>
        <v>-9.9999999999999395E-4</v>
      </c>
      <c r="K20" s="3">
        <f xml:space="preserve"> K8 - '+0 seg'!$K$8</f>
        <v>0</v>
      </c>
      <c r="L20" s="3">
        <f xml:space="preserve"> L8 - '+0 seg'!$L$8</f>
        <v>1.0000000000000009E-3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2.0000000000000018E-3</v>
      </c>
      <c r="C21" s="3">
        <f xml:space="preserve"> C9 - '+0 seg'!$C$9</f>
        <v>4.0000000000000036E-3</v>
      </c>
      <c r="D21" s="3">
        <f xml:space="preserve"> D9 - '+0 seg'!$D$9</f>
        <v>1.9999999999999879E-3</v>
      </c>
      <c r="E21" s="3">
        <f xml:space="preserve"> E9 - '+0 seg'!$E$9</f>
        <v>1.0000000000000009E-3</v>
      </c>
      <c r="F21" s="3">
        <f xml:space="preserve"> F9 - '+0 seg'!$F$9</f>
        <v>1.9999999999999879E-3</v>
      </c>
      <c r="G21" s="3">
        <f xml:space="preserve"> G9 - '+0 seg'!$G$9</f>
        <v>3.9999999999999897E-3</v>
      </c>
      <c r="H21" s="3">
        <f xml:space="preserve"> H9 - '+0 seg'!$H$9</f>
        <v>9.9999999999998701E-4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6.0000000000000053E-3</v>
      </c>
      <c r="C22" s="3">
        <f xml:space="preserve"> C10 - '+0 seg'!$C$10</f>
        <v>1.4000000000000012E-2</v>
      </c>
      <c r="D22" s="3">
        <f xml:space="preserve"> D10 - '+0 seg'!$D$10</f>
        <v>-1.0000000000000009E-3</v>
      </c>
      <c r="E22" s="3">
        <f xml:space="preserve"> E10 - '+0 seg'!$E$10</f>
        <v>-1.0000000000000009E-3</v>
      </c>
      <c r="F22" s="3">
        <f xml:space="preserve"> F10 - '+0 seg'!$F$10</f>
        <v>1.1999999999999983E-2</v>
      </c>
      <c r="G22" s="3">
        <f xml:space="preserve"> G10 - '+0 seg'!$G$10</f>
        <v>3.0000000000000027E-3</v>
      </c>
      <c r="H22" s="3">
        <f xml:space="preserve"> H10 - '+0 seg'!$H$10</f>
        <v>1.0000000000000009E-3</v>
      </c>
      <c r="I22" s="3">
        <f xml:space="preserve"> I10 - '+0 seg'!$I$10</f>
        <v>1.0000000000000009E-3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1.0000000000000009E-3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9.9999999999999395E-4</v>
      </c>
      <c r="C26" s="3">
        <f>STDEV(B15:C15)</f>
        <v>9.8130778667735948E-18</v>
      </c>
      <c r="D26" s="3">
        <f t="shared" ref="D26:H33" si="0">AVERAGE(D15:E15)</f>
        <v>3.5000000000000031E-3</v>
      </c>
      <c r="E26" s="3">
        <f>STDEV(D15:E15)</f>
        <v>7.0710678118654816E-4</v>
      </c>
      <c r="F26" s="3">
        <f t="shared" si="0"/>
        <v>-1.0000000000000009E-3</v>
      </c>
      <c r="G26" s="3">
        <f>STDEV(F15:G15)</f>
        <v>4.2426406871192892E-3</v>
      </c>
      <c r="H26" s="3">
        <f t="shared" si="0"/>
        <v>0</v>
      </c>
      <c r="I26" s="3">
        <f>STDEV(H15:I15)</f>
        <v>0</v>
      </c>
      <c r="J26" s="3">
        <f>AVERAGE(J15:J16)</f>
        <v>-9.9999999999999742E-4</v>
      </c>
      <c r="K26" s="3">
        <f>STDEV(J15:J16)</f>
        <v>4.9065389333867974E-18</v>
      </c>
      <c r="L26" s="3">
        <f>AVERAGE(K15:K16)</f>
        <v>-1.4999999999999979E-3</v>
      </c>
      <c r="M26" s="3">
        <f>STDEV(K15:K16)</f>
        <v>3.5355339059327355E-3</v>
      </c>
    </row>
    <row r="27" spans="1:13" x14ac:dyDescent="0.25">
      <c r="A27" t="s">
        <v>14</v>
      </c>
      <c r="B27" s="3">
        <f t="shared" ref="B27:B33" si="1">AVERAGE(B16:C16)</f>
        <v>9.9999999999998701E-4</v>
      </c>
      <c r="C27" s="3">
        <f t="shared" ref="C27:E33" si="2">STDEV(B16:C16)</f>
        <v>1.962615573354719E-17</v>
      </c>
      <c r="D27" s="3">
        <f t="shared" si="0"/>
        <v>2.9999999999999957E-3</v>
      </c>
      <c r="E27" s="3">
        <f t="shared" si="2"/>
        <v>9.8130778667735948E-18</v>
      </c>
      <c r="F27" s="3">
        <f t="shared" si="0"/>
        <v>3.0000000000000027E-3</v>
      </c>
      <c r="G27" s="3">
        <f t="shared" ref="G27:G33" si="3">STDEV(F16:G16)</f>
        <v>1.4142135623730963E-3</v>
      </c>
      <c r="H27" s="3">
        <f t="shared" si="0"/>
        <v>4.0000000000000036E-3</v>
      </c>
      <c r="I27" s="3">
        <f t="shared" ref="I27:I33" si="4">STDEV(H16:I16)</f>
        <v>1.4142135623730963E-3</v>
      </c>
      <c r="L27" s="3"/>
      <c r="M27" s="3"/>
    </row>
    <row r="28" spans="1:13" x14ac:dyDescent="0.25">
      <c r="A28" t="s">
        <v>15</v>
      </c>
      <c r="B28" s="3">
        <f t="shared" si="1"/>
        <v>2.5000000000000022E-3</v>
      </c>
      <c r="C28" s="3">
        <f t="shared" si="2"/>
        <v>2.1213203435596446E-3</v>
      </c>
      <c r="D28" s="3">
        <f t="shared" si="0"/>
        <v>2.0000000000000018E-3</v>
      </c>
      <c r="E28" s="3">
        <f t="shared" si="2"/>
        <v>2.8284271247461927E-3</v>
      </c>
      <c r="F28" s="3">
        <f t="shared" si="0"/>
        <v>-3.0000000000000096E-3</v>
      </c>
      <c r="G28" s="3">
        <f t="shared" si="3"/>
        <v>5.6568542494923758E-3</v>
      </c>
      <c r="H28" s="3">
        <f t="shared" si="0"/>
        <v>-1.0000000000000009E-3</v>
      </c>
      <c r="I28" s="3">
        <f t="shared" si="4"/>
        <v>5.6568542494923853E-3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2.4999999999999883E-3</v>
      </c>
      <c r="C29" s="3">
        <f t="shared" si="2"/>
        <v>7.0710678118652854E-4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4.4999999999999832E-3</v>
      </c>
      <c r="G29" s="3">
        <f t="shared" si="3"/>
        <v>3.5355339059327307E-3</v>
      </c>
      <c r="H29" s="3">
        <f t="shared" si="0"/>
        <v>1.0000000000000009E-3</v>
      </c>
      <c r="I29" s="3">
        <f t="shared" si="4"/>
        <v>1.4142135623730963E-3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5.0000000000000044E-4</v>
      </c>
      <c r="C30" s="3">
        <f t="shared" si="2"/>
        <v>2.1213203435596446E-3</v>
      </c>
      <c r="D30" s="3">
        <f t="shared" si="0"/>
        <v>2.0000000000000018E-3</v>
      </c>
      <c r="E30" s="3">
        <f t="shared" si="2"/>
        <v>0</v>
      </c>
      <c r="F30" s="3">
        <f t="shared" si="0"/>
        <v>5.0000000000000044E-3</v>
      </c>
      <c r="G30" s="3">
        <f t="shared" si="3"/>
        <v>1.4142135623730963E-3</v>
      </c>
      <c r="H30" s="3">
        <f t="shared" si="0"/>
        <v>5.0000000000000044E-4</v>
      </c>
      <c r="I30" s="3">
        <f t="shared" si="4"/>
        <v>6.3639610306789338E-3</v>
      </c>
      <c r="J30" s="3">
        <f>AVERAGE(J19:J20)</f>
        <v>-9.9999999999999742E-4</v>
      </c>
      <c r="K30" s="3">
        <f>STDEV(J19:J20)</f>
        <v>4.9065389333867974E-18</v>
      </c>
      <c r="L30" s="3">
        <f>AVERAGE(K19:K20)</f>
        <v>0</v>
      </c>
      <c r="M30" s="3">
        <f>STDEV(K19:K20)</f>
        <v>0</v>
      </c>
    </row>
    <row r="31" spans="1:13" x14ac:dyDescent="0.25">
      <c r="A31" t="s">
        <v>18</v>
      </c>
      <c r="B31" s="3">
        <f t="shared" si="1"/>
        <v>2.9999999999999957E-3</v>
      </c>
      <c r="C31" s="3">
        <f t="shared" si="2"/>
        <v>2.8284271247461827E-3</v>
      </c>
      <c r="D31" s="3">
        <f t="shared" si="0"/>
        <v>-1.0000000000000009E-3</v>
      </c>
      <c r="E31" s="3">
        <f t="shared" si="2"/>
        <v>2.8284271247461927E-3</v>
      </c>
      <c r="F31" s="3">
        <f t="shared" si="0"/>
        <v>2.0000000000000018E-3</v>
      </c>
      <c r="G31" s="3">
        <f t="shared" si="3"/>
        <v>1.4142135623730961E-3</v>
      </c>
      <c r="H31" s="3">
        <f t="shared" si="0"/>
        <v>5.0000000000000391E-4</v>
      </c>
      <c r="I31" s="3">
        <f t="shared" si="4"/>
        <v>2.1213203435596394E-3</v>
      </c>
      <c r="L31" s="3"/>
      <c r="M31" s="3"/>
    </row>
    <row r="32" spans="1:13" x14ac:dyDescent="0.25">
      <c r="A32" t="s">
        <v>19</v>
      </c>
      <c r="B32" s="3">
        <f t="shared" si="1"/>
        <v>3.0000000000000027E-3</v>
      </c>
      <c r="C32" s="3">
        <f t="shared" si="2"/>
        <v>1.4142135623730963E-3</v>
      </c>
      <c r="D32" s="3">
        <f t="shared" si="0"/>
        <v>1.4999999999999944E-3</v>
      </c>
      <c r="E32" s="3">
        <f t="shared" si="2"/>
        <v>7.0710678118653841E-4</v>
      </c>
      <c r="F32" s="3">
        <f t="shared" si="0"/>
        <v>2.9999999999999888E-3</v>
      </c>
      <c r="G32" s="3">
        <f t="shared" si="3"/>
        <v>1.4142135623730963E-3</v>
      </c>
      <c r="H32" s="3">
        <f t="shared" si="0"/>
        <v>9.9999999999999395E-4</v>
      </c>
      <c r="I32" s="3">
        <f t="shared" si="4"/>
        <v>9.8130778667735948E-18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1.0000000000000009E-2</v>
      </c>
      <c r="C33" s="3">
        <f t="shared" si="2"/>
        <v>5.6568542494923844E-3</v>
      </c>
      <c r="D33" s="3">
        <f t="shared" si="0"/>
        <v>-1.0000000000000009E-3</v>
      </c>
      <c r="E33" s="3">
        <f t="shared" si="2"/>
        <v>0</v>
      </c>
      <c r="F33" s="3">
        <f t="shared" si="0"/>
        <v>7.4999999999999928E-3</v>
      </c>
      <c r="G33" s="3">
        <f t="shared" si="3"/>
        <v>6.3639610306789138E-3</v>
      </c>
      <c r="H33" s="3">
        <f t="shared" si="0"/>
        <v>1.0000000000000009E-3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0.10100000000000001</v>
      </c>
      <c r="C3">
        <v>8.5999999999999993E-2</v>
      </c>
      <c r="D3">
        <v>7.5999999999999998E-2</v>
      </c>
      <c r="E3">
        <v>8.6999999999999994E-2</v>
      </c>
      <c r="F3">
        <v>0.14399999999999999</v>
      </c>
      <c r="G3">
        <v>0.11799999999999999</v>
      </c>
      <c r="H3">
        <v>8.3000000000000004E-2</v>
      </c>
      <c r="I3">
        <v>6.2E-2</v>
      </c>
      <c r="J3">
        <v>5.3999999999999999E-2</v>
      </c>
      <c r="K3">
        <v>4.8000000000000001E-2</v>
      </c>
      <c r="L3">
        <v>0.12</v>
      </c>
      <c r="M3">
        <v>9.1999999999999998E-2</v>
      </c>
    </row>
    <row r="4" spans="1:13" x14ac:dyDescent="0.25">
      <c r="A4" t="s">
        <v>14</v>
      </c>
      <c r="B4">
        <v>0.129</v>
      </c>
      <c r="C4">
        <v>0.14099999999999999</v>
      </c>
      <c r="D4">
        <v>0.08</v>
      </c>
      <c r="E4">
        <v>8.7999999999999995E-2</v>
      </c>
      <c r="F4">
        <v>0.151</v>
      </c>
      <c r="G4">
        <v>0.13</v>
      </c>
      <c r="H4">
        <v>9.7000000000000003E-2</v>
      </c>
      <c r="I4">
        <v>9.5000000000000001E-2</v>
      </c>
      <c r="J4">
        <v>6.0999999999999999E-2</v>
      </c>
      <c r="K4">
        <v>5.2999999999999999E-2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0.14199999999999999</v>
      </c>
      <c r="C5">
        <v>0.14699999999999999</v>
      </c>
      <c r="D5">
        <v>8.4000000000000005E-2</v>
      </c>
      <c r="E5">
        <v>0.08</v>
      </c>
      <c r="F5">
        <v>0.10299999999999999</v>
      </c>
      <c r="G5">
        <v>0.109</v>
      </c>
      <c r="H5">
        <v>7.8E-2</v>
      </c>
      <c r="I5">
        <v>6.4000000000000001E-2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0.17399999999999999</v>
      </c>
      <c r="C6">
        <v>0.188</v>
      </c>
      <c r="D6">
        <v>8.3000000000000004E-2</v>
      </c>
      <c r="E6">
        <v>9.1999999999999998E-2</v>
      </c>
      <c r="F6">
        <v>0.12</v>
      </c>
      <c r="G6">
        <v>0.20799999999999999</v>
      </c>
      <c r="H6">
        <v>7.0999999999999994E-2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25">
      <c r="A7" t="s">
        <v>17</v>
      </c>
      <c r="B7">
        <v>0.13600000000000001</v>
      </c>
      <c r="C7">
        <v>0.151</v>
      </c>
      <c r="D7">
        <v>8.3000000000000004E-2</v>
      </c>
      <c r="E7">
        <v>9.0999999999999998E-2</v>
      </c>
      <c r="F7">
        <v>0.11700000000000001</v>
      </c>
      <c r="G7">
        <v>0.111</v>
      </c>
      <c r="H7">
        <v>0.10100000000000001</v>
      </c>
      <c r="I7">
        <v>8.1000000000000003E-2</v>
      </c>
      <c r="J7">
        <v>6.9000000000000006E-2</v>
      </c>
      <c r="K7">
        <v>6.9000000000000006E-2</v>
      </c>
      <c r="L7">
        <v>0.65100000000000002</v>
      </c>
      <c r="M7">
        <v>9.7000000000000003E-2</v>
      </c>
    </row>
    <row r="8" spans="1:13" x14ac:dyDescent="0.25">
      <c r="A8" t="s">
        <v>18</v>
      </c>
      <c r="B8">
        <v>0.121</v>
      </c>
      <c r="C8">
        <v>9.2999999999999999E-2</v>
      </c>
      <c r="D8">
        <v>7.5999999999999998E-2</v>
      </c>
      <c r="E8">
        <v>7.5999999999999998E-2</v>
      </c>
      <c r="F8">
        <v>0.1</v>
      </c>
      <c r="G8">
        <v>8.1000000000000003E-2</v>
      </c>
      <c r="H8">
        <v>0.08</v>
      </c>
      <c r="I8">
        <v>5.8000000000000003E-2</v>
      </c>
      <c r="J8">
        <v>0.05</v>
      </c>
      <c r="K8">
        <v>6.0999999999999999E-2</v>
      </c>
      <c r="L8">
        <v>0.36699999999999999</v>
      </c>
      <c r="M8">
        <v>9.7000000000000003E-2</v>
      </c>
    </row>
    <row r="9" spans="1:13" x14ac:dyDescent="0.25">
      <c r="A9" t="s">
        <v>19</v>
      </c>
      <c r="B9">
        <v>0.154</v>
      </c>
      <c r="C9">
        <v>0.16700000000000001</v>
      </c>
      <c r="D9">
        <v>0.10299999999999999</v>
      </c>
      <c r="E9">
        <v>0.107</v>
      </c>
      <c r="F9">
        <v>0.11899999999999999</v>
      </c>
      <c r="G9">
        <v>0.10299999999999999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</v>
      </c>
      <c r="C10">
        <v>0.219</v>
      </c>
      <c r="D10">
        <v>0.104</v>
      </c>
      <c r="E10">
        <v>0.111</v>
      </c>
      <c r="F10">
        <v>0.24099999999999999</v>
      </c>
      <c r="G10">
        <v>0.16400000000000001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3.0000000000000027E-3</v>
      </c>
      <c r="C15" s="3">
        <f xml:space="preserve"> C3 - '+0 seg'!$C$3</f>
        <v>9.9999999999998701E-4</v>
      </c>
      <c r="D15" s="3">
        <f xml:space="preserve"> D3 - '+0 seg'!$D$3</f>
        <v>3.0000000000000027E-3</v>
      </c>
      <c r="E15" s="3">
        <f xml:space="preserve"> E3 - '+0 seg'!$E$3</f>
        <v>0</v>
      </c>
      <c r="F15" s="3">
        <f xml:space="preserve"> F3 - '+0 seg'!$F$3</f>
        <v>-3.0000000000000027E-3</v>
      </c>
      <c r="G15" s="3">
        <f xml:space="preserve"> G3 - '+0 seg'!$G$3</f>
        <v>2.9999999999999888E-3</v>
      </c>
      <c r="H15" s="3">
        <f xml:space="preserve"> H3 - '+0 seg'!$H$3</f>
        <v>0</v>
      </c>
      <c r="I15" s="3">
        <f xml:space="preserve"> I3 - '+0 seg'!$I$3</f>
        <v>1.0000000000000009E-3</v>
      </c>
      <c r="J15" s="3">
        <f xml:space="preserve"> J3 - '+0 seg'!$J$3</f>
        <v>3.0000000000000027E-3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</row>
    <row r="16" spans="1:13" x14ac:dyDescent="0.25">
      <c r="A16" t="s">
        <v>14</v>
      </c>
      <c r="B16" s="3">
        <f xml:space="preserve"> B4 - '+0 seg'!$B$4</f>
        <v>1.0000000000000009E-3</v>
      </c>
      <c r="C16" s="3">
        <f xml:space="preserve"> C4 - '+0 seg'!$C$4</f>
        <v>9.9999999999997313E-4</v>
      </c>
      <c r="D16" s="3">
        <f xml:space="preserve"> D4 - '+0 seg'!$D$4</f>
        <v>4.0000000000000036E-3</v>
      </c>
      <c r="E16" s="3">
        <f xml:space="preserve"> E4 - '+0 seg'!$E$4</f>
        <v>3.9999999999999897E-3</v>
      </c>
      <c r="F16" s="3">
        <f xml:space="preserve"> F4 - '+0 seg'!$F$4</f>
        <v>5.0000000000000044E-3</v>
      </c>
      <c r="G16" s="3">
        <f xml:space="preserve"> G4 - '+0 seg'!$G$4</f>
        <v>3.0000000000000027E-3</v>
      </c>
      <c r="H16" s="3">
        <f xml:space="preserve"> H4 - '+0 seg'!$H$4</f>
        <v>6.0000000000000053E-3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1.0000000000000009E-3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1.0000000000000009E-3</v>
      </c>
      <c r="C17" s="3">
        <f xml:space="preserve"> C5 - '+0 seg'!$C$5</f>
        <v>5.0000000000000044E-3</v>
      </c>
      <c r="D17" s="3">
        <f xml:space="preserve"> D5 - '+0 seg'!$D$5</f>
        <v>4.0000000000000036E-3</v>
      </c>
      <c r="E17" s="3">
        <f xml:space="preserve"> E5 - '+0 seg'!$E$5</f>
        <v>0</v>
      </c>
      <c r="F17" s="3">
        <f xml:space="preserve"> F5 - '+0 seg'!$F$5</f>
        <v>1.9999999999999879E-3</v>
      </c>
      <c r="G17" s="3">
        <f xml:space="preserve"> G5 - '+0 seg'!$G$5</f>
        <v>-7.0000000000000062E-3</v>
      </c>
      <c r="H17" s="3">
        <f xml:space="preserve"> H5 - '+0 seg'!$H$5</f>
        <v>3.0000000000000027E-3</v>
      </c>
      <c r="I17" s="3">
        <f xml:space="preserve"> I5 - '+0 seg'!$I$5</f>
        <v>-5.0000000000000044E-3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2.9999999999999749E-3</v>
      </c>
      <c r="C18" s="3">
        <f xml:space="preserve"> C6 - '+0 seg'!$C$6</f>
        <v>4.0000000000000036E-3</v>
      </c>
      <c r="D18" s="3">
        <f xml:space="preserve"> D6 - '+0 seg'!$D$6</f>
        <v>1.0000000000000009E-3</v>
      </c>
      <c r="E18" s="3">
        <f xml:space="preserve"> E6 - '+0 seg'!$E$6</f>
        <v>1.0000000000000009E-3</v>
      </c>
      <c r="F18" s="3">
        <f xml:space="preserve"> F6 - '+0 seg'!$F$6</f>
        <v>2.9999999999999888E-3</v>
      </c>
      <c r="G18" s="3">
        <f xml:space="preserve"> G6 - '+0 seg'!$G$6</f>
        <v>8.9999999999999802E-3</v>
      </c>
      <c r="H18" s="3">
        <f xml:space="preserve"> H6 - '+0 seg'!$H$6</f>
        <v>2.9999999999999888E-3</v>
      </c>
      <c r="I18" s="3">
        <f xml:space="preserve"> I6 - '+0 seg'!$I$6</f>
        <v>0</v>
      </c>
      <c r="J18" s="3">
        <f xml:space="preserve"> J6 - '+0 seg'!$J$6</f>
        <v>0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0</v>
      </c>
      <c r="D19" s="3">
        <f xml:space="preserve"> D7 - '+0 seg'!$D$7</f>
        <v>3.0000000000000027E-3</v>
      </c>
      <c r="E19" s="3">
        <f xml:space="preserve"> E7 - '+0 seg'!$E$7</f>
        <v>3.0000000000000027E-3</v>
      </c>
      <c r="F19" s="3">
        <f xml:space="preserve"> F7 - '+0 seg'!$F$7</f>
        <v>5.0000000000000044E-3</v>
      </c>
      <c r="G19" s="3">
        <f xml:space="preserve"> G7 - '+0 seg'!$G$7</f>
        <v>8.0000000000000071E-3</v>
      </c>
      <c r="H19" s="3">
        <f xml:space="preserve"> H7 - '+0 seg'!$H$7</f>
        <v>7.0000000000000062E-3</v>
      </c>
      <c r="I19" s="3">
        <f xml:space="preserve"> I7 - '+0 seg'!$I$7</f>
        <v>-3.0000000000000027E-3</v>
      </c>
      <c r="J19" s="3">
        <f xml:space="preserve"> J7 - '+0 seg'!$J$7</f>
        <v>0</v>
      </c>
      <c r="K19" s="3">
        <f xml:space="preserve"> K7 - '+0 seg'!$K$7</f>
        <v>0</v>
      </c>
      <c r="L19" s="3">
        <f xml:space="preserve"> L7 - '+0 seg'!$L$7</f>
        <v>8.0000000000000071E-3</v>
      </c>
      <c r="M19" s="3">
        <f xml:space="preserve"> M7 - '+0 seg'!$M$7</f>
        <v>0</v>
      </c>
    </row>
    <row r="20" spans="1:13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2.0000000000000018E-3</v>
      </c>
      <c r="D20" s="3">
        <f xml:space="preserve"> D8 - '+0 seg'!$D$8</f>
        <v>-3.0000000000000027E-3</v>
      </c>
      <c r="E20" s="3">
        <f xml:space="preserve"> E8 - '+0 seg'!$E$8</f>
        <v>1.0000000000000009E-3</v>
      </c>
      <c r="F20" s="3">
        <f xml:space="preserve"> F8 - '+0 seg'!$F$8</f>
        <v>4.0000000000000036E-3</v>
      </c>
      <c r="G20" s="3">
        <f xml:space="preserve"> G8 - '+0 seg'!$G$8</f>
        <v>2.0000000000000018E-3</v>
      </c>
      <c r="H20" s="3">
        <f xml:space="preserve"> H8 - '+0 seg'!$H$8</f>
        <v>4.0000000000000036E-3</v>
      </c>
      <c r="I20" s="3">
        <f xml:space="preserve"> I8 - '+0 seg'!$I$8</f>
        <v>-9.9999999999999395E-4</v>
      </c>
      <c r="J20" s="3">
        <f xml:space="preserve"> J8 - '+0 seg'!$J$8</f>
        <v>-9.9999999999999395E-4</v>
      </c>
      <c r="K20" s="3">
        <f xml:space="preserve"> K8 - '+0 seg'!$K$8</f>
        <v>-1.0000000000000009E-3</v>
      </c>
      <c r="L20" s="3">
        <f xml:space="preserve"> L8 - '+0 seg'!$L$8</f>
        <v>-2.0000000000000018E-3</v>
      </c>
      <c r="M20" s="3">
        <f xml:space="preserve"> M8 - '+0 seg'!$M$8</f>
        <v>0</v>
      </c>
    </row>
    <row r="21" spans="1:13" x14ac:dyDescent="0.25">
      <c r="A21" t="s">
        <v>19</v>
      </c>
      <c r="B21" s="3">
        <f xml:space="preserve"> B9 - '+0 seg'!$B$9</f>
        <v>3.0000000000000027E-3</v>
      </c>
      <c r="C21" s="3">
        <f xml:space="preserve"> C9 - '+0 seg'!$C$9</f>
        <v>5.0000000000000044E-3</v>
      </c>
      <c r="D21" s="3">
        <f xml:space="preserve"> D9 - '+0 seg'!$D$9</f>
        <v>2.9999999999999888E-3</v>
      </c>
      <c r="E21" s="3">
        <f xml:space="preserve"> E9 - '+0 seg'!$E$9</f>
        <v>2.0000000000000018E-3</v>
      </c>
      <c r="F21" s="3">
        <f xml:space="preserve"> F9 - '+0 seg'!$F$9</f>
        <v>2.9999999999999888E-3</v>
      </c>
      <c r="G21" s="3">
        <f xml:space="preserve"> G9 - '+0 seg'!$G$9</f>
        <v>4.9999999999999906E-3</v>
      </c>
      <c r="H21" s="3">
        <f xml:space="preserve"> H9 - '+0 seg'!$H$9</f>
        <v>9.9999999999998701E-4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-9.000000000000008E-3</v>
      </c>
      <c r="C22" s="3">
        <f xml:space="preserve"> C10 - '+0 seg'!$C$10</f>
        <v>1.4000000000000012E-2</v>
      </c>
      <c r="D22" s="3">
        <f xml:space="preserve"> D10 - '+0 seg'!$D$10</f>
        <v>-1.0000000000000009E-3</v>
      </c>
      <c r="E22" s="3">
        <f xml:space="preserve"> E10 - '+0 seg'!$E$10</f>
        <v>-1.0000000000000009E-3</v>
      </c>
      <c r="F22" s="3">
        <f xml:space="preserve"> F10 - '+0 seg'!$F$10</f>
        <v>1.4999999999999986E-2</v>
      </c>
      <c r="G22" s="3">
        <f xml:space="preserve"> G10 - '+0 seg'!$G$10</f>
        <v>5.0000000000000044E-3</v>
      </c>
      <c r="H22" s="3">
        <f xml:space="preserve"> H10 - '+0 seg'!$H$10</f>
        <v>1.0000000000000009E-3</v>
      </c>
      <c r="I22" s="3">
        <f xml:space="preserve"> I10 - '+0 seg'!$I$10</f>
        <v>1.0000000000000009E-3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0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1.9999999999999948E-3</v>
      </c>
      <c r="C26" s="3">
        <f>STDEV(B15:C15)</f>
        <v>1.4142135623731057E-3</v>
      </c>
      <c r="D26" s="3">
        <f t="shared" ref="D26:H33" si="0">AVERAGE(D15:E15)</f>
        <v>1.5000000000000013E-3</v>
      </c>
      <c r="E26" s="3">
        <f>STDEV(D15:E15)</f>
        <v>2.1213203435596446E-3</v>
      </c>
      <c r="F26" s="3">
        <f t="shared" si="0"/>
        <v>-6.9388939039072284E-18</v>
      </c>
      <c r="G26" s="3">
        <f>STDEV(F15:G15)</f>
        <v>4.2426406871192788E-3</v>
      </c>
      <c r="H26" s="3">
        <f t="shared" si="0"/>
        <v>5.0000000000000044E-4</v>
      </c>
      <c r="I26" s="3">
        <f>STDEV(H15:I15)</f>
        <v>7.0710678118654816E-4</v>
      </c>
      <c r="J26" s="3">
        <f>AVERAGE(J15:J16)</f>
        <v>1.0000000000000009E-3</v>
      </c>
      <c r="K26" s="3">
        <f>STDEV(J15:J16)</f>
        <v>2.8284271247461927E-3</v>
      </c>
      <c r="L26" s="3">
        <f>AVERAGE(K15:K16)</f>
        <v>-1.4999999999999979E-3</v>
      </c>
      <c r="M26" s="3">
        <f>STDEV(K15:K16)</f>
        <v>3.5355339059327355E-3</v>
      </c>
    </row>
    <row r="27" spans="1:13" x14ac:dyDescent="0.25">
      <c r="A27" t="s">
        <v>14</v>
      </c>
      <c r="B27" s="3">
        <f t="shared" ref="B27:B33" si="1">AVERAGE(B16:C16)</f>
        <v>9.9999999999998701E-4</v>
      </c>
      <c r="C27" s="3">
        <f t="shared" ref="C27:E33" si="2">STDEV(B16:C16)</f>
        <v>1.962615573354719E-17</v>
      </c>
      <c r="D27" s="3">
        <f t="shared" si="0"/>
        <v>3.9999999999999966E-3</v>
      </c>
      <c r="E27" s="3">
        <f t="shared" si="2"/>
        <v>9.8130778667735948E-18</v>
      </c>
      <c r="F27" s="3">
        <f t="shared" si="0"/>
        <v>4.0000000000000036E-3</v>
      </c>
      <c r="G27" s="3">
        <f t="shared" ref="G27:G33" si="3">STDEV(F16:G16)</f>
        <v>1.4142135623730963E-3</v>
      </c>
      <c r="H27" s="3">
        <f t="shared" si="0"/>
        <v>4.500000000000004E-3</v>
      </c>
      <c r="I27" s="3">
        <f t="shared" ref="I27:I33" si="4">STDEV(H16:I16)</f>
        <v>2.1213203435596446E-3</v>
      </c>
      <c r="L27" s="3"/>
      <c r="M27" s="3"/>
    </row>
    <row r="28" spans="1:13" x14ac:dyDescent="0.25">
      <c r="A28" t="s">
        <v>15</v>
      </c>
      <c r="B28" s="3">
        <f t="shared" si="1"/>
        <v>3.0000000000000027E-3</v>
      </c>
      <c r="C28" s="3">
        <f t="shared" si="2"/>
        <v>2.8284271247461927E-3</v>
      </c>
      <c r="D28" s="3">
        <f t="shared" si="0"/>
        <v>2.0000000000000018E-3</v>
      </c>
      <c r="E28" s="3">
        <f t="shared" si="2"/>
        <v>2.8284271247461927E-3</v>
      </c>
      <c r="F28" s="3">
        <f t="shared" si="0"/>
        <v>-2.5000000000000092E-3</v>
      </c>
      <c r="G28" s="3">
        <f t="shared" si="3"/>
        <v>6.3639610306789234E-3</v>
      </c>
      <c r="H28" s="3">
        <f t="shared" si="0"/>
        <v>-1.0000000000000009E-3</v>
      </c>
      <c r="I28" s="3">
        <f t="shared" si="4"/>
        <v>5.6568542494923853E-3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3.4999999999999892E-3</v>
      </c>
      <c r="C29" s="3">
        <f t="shared" si="2"/>
        <v>7.0710678118656779E-4</v>
      </c>
      <c r="D29" s="3">
        <f t="shared" si="0"/>
        <v>1.0000000000000009E-3</v>
      </c>
      <c r="E29" s="3">
        <f t="shared" si="2"/>
        <v>0</v>
      </c>
      <c r="F29" s="3">
        <f t="shared" si="0"/>
        <v>5.9999999999999845E-3</v>
      </c>
      <c r="G29" s="3">
        <f t="shared" si="3"/>
        <v>4.2426406871192788E-3</v>
      </c>
      <c r="H29" s="3">
        <f t="shared" si="0"/>
        <v>1.4999999999999944E-3</v>
      </c>
      <c r="I29" s="3">
        <f t="shared" si="4"/>
        <v>2.1213203435596346E-3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1.0000000000000009E-3</v>
      </c>
      <c r="C30" s="3">
        <f t="shared" si="2"/>
        <v>1.4142135623730963E-3</v>
      </c>
      <c r="D30" s="3">
        <f t="shared" si="0"/>
        <v>3.0000000000000027E-3</v>
      </c>
      <c r="E30" s="3">
        <f t="shared" si="2"/>
        <v>0</v>
      </c>
      <c r="F30" s="3">
        <f t="shared" si="0"/>
        <v>6.5000000000000058E-3</v>
      </c>
      <c r="G30" s="3">
        <f t="shared" si="3"/>
        <v>2.1213203435596446E-3</v>
      </c>
      <c r="H30" s="3">
        <f t="shared" si="0"/>
        <v>2.0000000000000018E-3</v>
      </c>
      <c r="I30" s="3">
        <f t="shared" si="4"/>
        <v>7.0710678118654814E-3</v>
      </c>
      <c r="J30" s="3">
        <f>AVERAGE(J19:J20)</f>
        <v>-4.9999999999999697E-4</v>
      </c>
      <c r="K30" s="3">
        <f>STDEV(J19:J20)</f>
        <v>7.0710678118654328E-4</v>
      </c>
      <c r="L30" s="3">
        <f>AVERAGE(K19:K20)</f>
        <v>-5.0000000000000044E-4</v>
      </c>
      <c r="M30" s="3">
        <f>STDEV(K19:K20)</f>
        <v>7.0710678118654816E-4</v>
      </c>
    </row>
    <row r="31" spans="1:13" x14ac:dyDescent="0.25">
      <c r="A31" t="s">
        <v>18</v>
      </c>
      <c r="B31" s="3">
        <f t="shared" si="1"/>
        <v>3.4999999999999962E-3</v>
      </c>
      <c r="C31" s="3">
        <f t="shared" si="2"/>
        <v>2.1213203435596346E-3</v>
      </c>
      <c r="D31" s="3">
        <f t="shared" si="0"/>
        <v>-1.0000000000000009E-3</v>
      </c>
      <c r="E31" s="3">
        <f t="shared" si="2"/>
        <v>2.8284271247461927E-3</v>
      </c>
      <c r="F31" s="3">
        <f t="shared" si="0"/>
        <v>3.0000000000000027E-3</v>
      </c>
      <c r="G31" s="3">
        <f t="shared" si="3"/>
        <v>1.4142135623730963E-3</v>
      </c>
      <c r="H31" s="3">
        <f t="shared" si="0"/>
        <v>1.5000000000000048E-3</v>
      </c>
      <c r="I31" s="3">
        <f t="shared" si="4"/>
        <v>3.5355339059327359E-3</v>
      </c>
      <c r="L31" s="3"/>
      <c r="M31" s="3"/>
    </row>
    <row r="32" spans="1:13" x14ac:dyDescent="0.25">
      <c r="A32" t="s">
        <v>19</v>
      </c>
      <c r="B32" s="3">
        <f t="shared" si="1"/>
        <v>4.0000000000000036E-3</v>
      </c>
      <c r="C32" s="3">
        <f t="shared" si="2"/>
        <v>1.4142135623730963E-3</v>
      </c>
      <c r="D32" s="3">
        <f t="shared" si="0"/>
        <v>2.4999999999999953E-3</v>
      </c>
      <c r="E32" s="3">
        <f t="shared" si="2"/>
        <v>7.0710678118653841E-4</v>
      </c>
      <c r="F32" s="3">
        <f t="shared" si="0"/>
        <v>3.9999999999999897E-3</v>
      </c>
      <c r="G32" s="3">
        <f t="shared" si="3"/>
        <v>1.4142135623730963E-3</v>
      </c>
      <c r="H32" s="3">
        <f t="shared" si="0"/>
        <v>9.9999999999999395E-4</v>
      </c>
      <c r="I32" s="3">
        <f t="shared" si="4"/>
        <v>9.8130778667735948E-18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2.5000000000000022E-3</v>
      </c>
      <c r="C33" s="3">
        <f t="shared" si="2"/>
        <v>1.6263455967290608E-2</v>
      </c>
      <c r="D33" s="3">
        <f t="shared" si="0"/>
        <v>-1.0000000000000009E-3</v>
      </c>
      <c r="E33" s="3">
        <f t="shared" si="2"/>
        <v>0</v>
      </c>
      <c r="F33" s="3">
        <f t="shared" si="0"/>
        <v>9.999999999999995E-3</v>
      </c>
      <c r="G33" s="3">
        <f t="shared" si="3"/>
        <v>7.0710678118654632E-3</v>
      </c>
      <c r="H33" s="3">
        <f t="shared" si="0"/>
        <v>1.0000000000000009E-3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workbookViewId="0">
      <selection activeCell="J26" sqref="J26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</v>
      </c>
      <c r="C3">
        <v>8.6999999999999994E-2</v>
      </c>
      <c r="D3">
        <v>7.6999999999999999E-2</v>
      </c>
      <c r="E3">
        <v>9.1999999999999998E-2</v>
      </c>
      <c r="F3">
        <v>0.14499999999999999</v>
      </c>
      <c r="G3">
        <v>0.11799999999999999</v>
      </c>
      <c r="H3">
        <v>8.3000000000000004E-2</v>
      </c>
      <c r="I3">
        <v>6.2E-2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25">
      <c r="A4" t="s">
        <v>14</v>
      </c>
      <c r="B4">
        <v>0.128</v>
      </c>
      <c r="C4">
        <v>0.14099999999999999</v>
      </c>
      <c r="D4">
        <v>7.8E-2</v>
      </c>
      <c r="E4">
        <v>8.6999999999999994E-2</v>
      </c>
      <c r="F4">
        <v>0.151</v>
      </c>
      <c r="G4">
        <v>0.13</v>
      </c>
      <c r="H4">
        <v>9.6000000000000002E-2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0.14199999999999999</v>
      </c>
      <c r="C5">
        <v>0.14799999999999999</v>
      </c>
      <c r="D5">
        <v>8.4000000000000005E-2</v>
      </c>
      <c r="E5">
        <v>0.08</v>
      </c>
      <c r="F5">
        <v>0.10299999999999999</v>
      </c>
      <c r="G5">
        <v>0.109</v>
      </c>
      <c r="H5">
        <v>7.8E-2</v>
      </c>
      <c r="I5">
        <v>6.3E-2</v>
      </c>
      <c r="J5">
        <v>9.2999999999999999E-2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0.17499999999999999</v>
      </c>
      <c r="C6">
        <v>0.188</v>
      </c>
      <c r="D6">
        <v>8.3000000000000004E-2</v>
      </c>
      <c r="E6">
        <v>9.0999999999999998E-2</v>
      </c>
      <c r="F6">
        <v>0.12</v>
      </c>
      <c r="G6">
        <v>0.20899999999999999</v>
      </c>
      <c r="H6">
        <v>7.1999999999999995E-2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25">
      <c r="A7" t="s">
        <v>17</v>
      </c>
      <c r="B7">
        <v>0.13600000000000001</v>
      </c>
      <c r="C7">
        <v>0.152</v>
      </c>
      <c r="D7">
        <v>8.3000000000000004E-2</v>
      </c>
      <c r="E7">
        <v>9.0999999999999998E-2</v>
      </c>
      <c r="F7">
        <v>0.11899999999999999</v>
      </c>
      <c r="G7">
        <v>0.111</v>
      </c>
      <c r="H7">
        <v>0.10100000000000001</v>
      </c>
      <c r="I7">
        <v>7.9000000000000001E-2</v>
      </c>
      <c r="J7">
        <v>6.8000000000000005E-2</v>
      </c>
      <c r="K7">
        <v>6.9000000000000006E-2</v>
      </c>
      <c r="L7">
        <v>0.64900000000000002</v>
      </c>
      <c r="M7">
        <v>9.7000000000000003E-2</v>
      </c>
    </row>
    <row r="8" spans="1:13" x14ac:dyDescent="0.25">
      <c r="A8" t="s">
        <v>18</v>
      </c>
      <c r="B8">
        <v>0.121</v>
      </c>
      <c r="C8">
        <v>9.4E-2</v>
      </c>
      <c r="D8">
        <v>7.5999999999999998E-2</v>
      </c>
      <c r="E8">
        <v>7.5999999999999998E-2</v>
      </c>
      <c r="F8">
        <v>0.10100000000000001</v>
      </c>
      <c r="G8">
        <v>8.1000000000000003E-2</v>
      </c>
      <c r="H8">
        <v>7.9000000000000001E-2</v>
      </c>
      <c r="I8">
        <v>5.8000000000000003E-2</v>
      </c>
      <c r="J8">
        <v>0.05</v>
      </c>
      <c r="K8">
        <v>6.2E-2</v>
      </c>
      <c r="L8">
        <v>0.36799999999999999</v>
      </c>
      <c r="M8">
        <v>9.7000000000000003E-2</v>
      </c>
    </row>
    <row r="9" spans="1:13" x14ac:dyDescent="0.25">
      <c r="A9" t="s">
        <v>19</v>
      </c>
      <c r="B9">
        <v>0.153</v>
      </c>
      <c r="C9">
        <v>0.16800000000000001</v>
      </c>
      <c r="D9">
        <v>0.10299999999999999</v>
      </c>
      <c r="E9">
        <v>0.107</v>
      </c>
      <c r="F9">
        <v>0.11899999999999999</v>
      </c>
      <c r="G9">
        <v>0.104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0.20499999999999999</v>
      </c>
      <c r="C10">
        <v>0.221</v>
      </c>
      <c r="D10">
        <v>0.104</v>
      </c>
      <c r="E10">
        <v>0.112</v>
      </c>
      <c r="F10">
        <v>0.24299999999999999</v>
      </c>
      <c r="G10">
        <v>0.16500000000000001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2.0000000000000018E-3</v>
      </c>
      <c r="C15" s="3">
        <f xml:space="preserve"> C3 - '+0 seg'!$C$3</f>
        <v>1.9999999999999879E-3</v>
      </c>
      <c r="D15" s="3">
        <f xml:space="preserve"> D3 - '+0 seg'!$D$3</f>
        <v>4.0000000000000036E-3</v>
      </c>
      <c r="E15" s="3">
        <f xml:space="preserve"> E3 - '+0 seg'!$E$3</f>
        <v>5.0000000000000044E-3</v>
      </c>
      <c r="F15" s="3">
        <f xml:space="preserve"> F3 - '+0 seg'!$F$3</f>
        <v>-2.0000000000000018E-3</v>
      </c>
      <c r="G15" s="3">
        <f xml:space="preserve"> G3 - '+0 seg'!$G$3</f>
        <v>2.9999999999999888E-3</v>
      </c>
      <c r="H15" s="3">
        <f xml:space="preserve"> H3 - '+0 seg'!$H$3</f>
        <v>0</v>
      </c>
      <c r="I15" s="3">
        <f xml:space="preserve"> I3 - '+0 seg'!$I$3</f>
        <v>1.0000000000000009E-3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</row>
    <row r="16" spans="1:13" x14ac:dyDescent="0.25">
      <c r="A16" t="s">
        <v>14</v>
      </c>
      <c r="B16" s="3">
        <f xml:space="preserve"> B4 - '+0 seg'!$B$4</f>
        <v>0</v>
      </c>
      <c r="C16" s="3">
        <f xml:space="preserve"> C4 - '+0 seg'!$C$4</f>
        <v>9.9999999999997313E-4</v>
      </c>
      <c r="D16" s="3">
        <f xml:space="preserve"> D4 - '+0 seg'!$D$4</f>
        <v>2.0000000000000018E-3</v>
      </c>
      <c r="E16" s="3">
        <f xml:space="preserve"> E4 - '+0 seg'!$E$4</f>
        <v>2.9999999999999888E-3</v>
      </c>
      <c r="F16" s="3">
        <f xml:space="preserve"> F4 - '+0 seg'!$F$4</f>
        <v>5.0000000000000044E-3</v>
      </c>
      <c r="G16" s="3">
        <f xml:space="preserve"> G4 - '+0 seg'!$G$4</f>
        <v>3.0000000000000027E-3</v>
      </c>
      <c r="H16" s="3">
        <f xml:space="preserve"> H4 - '+0 seg'!$H$4</f>
        <v>5.0000000000000044E-3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2.0000000000000018E-3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1.0000000000000009E-3</v>
      </c>
      <c r="C17" s="3">
        <f xml:space="preserve"> C5 - '+0 seg'!$C$5</f>
        <v>6.0000000000000053E-3</v>
      </c>
      <c r="D17" s="3">
        <f xml:space="preserve"> D5 - '+0 seg'!$D$5</f>
        <v>4.0000000000000036E-3</v>
      </c>
      <c r="E17" s="3">
        <f xml:space="preserve"> E5 - '+0 seg'!$E$5</f>
        <v>0</v>
      </c>
      <c r="F17" s="3">
        <f xml:space="preserve"> F5 - '+0 seg'!$F$5</f>
        <v>1.9999999999999879E-3</v>
      </c>
      <c r="G17" s="3">
        <f xml:space="preserve"> G5 - '+0 seg'!$G$5</f>
        <v>-7.0000000000000062E-3</v>
      </c>
      <c r="H17" s="3">
        <f xml:space="preserve"> H5 - '+0 seg'!$H$5</f>
        <v>3.0000000000000027E-3</v>
      </c>
      <c r="I17" s="3">
        <f xml:space="preserve"> I5 - '+0 seg'!$I$5</f>
        <v>-6.0000000000000053E-3</v>
      </c>
      <c r="J17" s="3">
        <f xml:space="preserve"> J5 - '+0 seg'!$J$5</f>
        <v>-1.0000000000000009E-3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3.9999999999999758E-3</v>
      </c>
      <c r="C18" s="3">
        <f xml:space="preserve"> C6 - '+0 seg'!$C$6</f>
        <v>4.0000000000000036E-3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2.9999999999999888E-3</v>
      </c>
      <c r="G18" s="3">
        <f xml:space="preserve"> G6 - '+0 seg'!$G$6</f>
        <v>9.9999999999999811E-3</v>
      </c>
      <c r="H18" s="3">
        <f xml:space="preserve"> H6 - '+0 seg'!$H$6</f>
        <v>3.9999999999999897E-3</v>
      </c>
      <c r="I18" s="3">
        <f xml:space="preserve"> I6 - '+0 seg'!$I$6</f>
        <v>0</v>
      </c>
      <c r="J18" s="3">
        <f xml:space="preserve"> J6 - '+0 seg'!$J$6</f>
        <v>0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1.0000000000000009E-3</v>
      </c>
      <c r="D19" s="3">
        <f xml:space="preserve"> D7 - '+0 seg'!$D$7</f>
        <v>3.0000000000000027E-3</v>
      </c>
      <c r="E19" s="3">
        <f xml:space="preserve"> E7 - '+0 seg'!$E$7</f>
        <v>3.0000000000000027E-3</v>
      </c>
      <c r="F19" s="3">
        <f xml:space="preserve"> F7 - '+0 seg'!$F$7</f>
        <v>6.9999999999999923E-3</v>
      </c>
      <c r="G19" s="3">
        <f xml:space="preserve"> G7 - '+0 seg'!$G$7</f>
        <v>8.0000000000000071E-3</v>
      </c>
      <c r="H19" s="3">
        <f xml:space="preserve"> H7 - '+0 seg'!$H$7</f>
        <v>7.0000000000000062E-3</v>
      </c>
      <c r="I19" s="3">
        <f xml:space="preserve"> I7 - '+0 seg'!$I$7</f>
        <v>-5.0000000000000044E-3</v>
      </c>
      <c r="J19" s="3">
        <f xml:space="preserve"> J7 - '+0 seg'!$J$7</f>
        <v>-1.0000000000000009E-3</v>
      </c>
      <c r="K19" s="3">
        <f xml:space="preserve"> K7 - '+0 seg'!$K$7</f>
        <v>0</v>
      </c>
      <c r="L19" s="3">
        <f xml:space="preserve"> L7 - '+0 seg'!$L$7</f>
        <v>6.0000000000000053E-3</v>
      </c>
      <c r="M19" s="3">
        <f xml:space="preserve"> M7 - '+0 seg'!$M$7</f>
        <v>0</v>
      </c>
    </row>
    <row r="20" spans="1:13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3.0000000000000027E-3</v>
      </c>
      <c r="D20" s="3">
        <f xml:space="preserve"> D8 - '+0 seg'!$D$8</f>
        <v>-3.0000000000000027E-3</v>
      </c>
      <c r="E20" s="3">
        <f xml:space="preserve"> E8 - '+0 seg'!$E$8</f>
        <v>1.0000000000000009E-3</v>
      </c>
      <c r="F20" s="3">
        <f xml:space="preserve"> F8 - '+0 seg'!$F$8</f>
        <v>5.0000000000000044E-3</v>
      </c>
      <c r="G20" s="3">
        <f xml:space="preserve"> G8 - '+0 seg'!$G$8</f>
        <v>2.0000000000000018E-3</v>
      </c>
      <c r="H20" s="3">
        <f xml:space="preserve"> H8 - '+0 seg'!$H$8</f>
        <v>3.0000000000000027E-3</v>
      </c>
      <c r="I20" s="3">
        <f xml:space="preserve"> I8 - '+0 seg'!$I$8</f>
        <v>-9.9999999999999395E-4</v>
      </c>
      <c r="J20" s="3">
        <f xml:space="preserve"> J8 - '+0 seg'!$J$8</f>
        <v>-9.9999999999999395E-4</v>
      </c>
      <c r="K20" s="3">
        <f xml:space="preserve"> K8 - '+0 seg'!$K$8</f>
        <v>0</v>
      </c>
      <c r="L20" s="3">
        <f xml:space="preserve"> L8 - '+0 seg'!$L$8</f>
        <v>-1.0000000000000009E-3</v>
      </c>
      <c r="M20" s="3">
        <f xml:space="preserve"> M8 - '+0 seg'!$M$8</f>
        <v>0</v>
      </c>
    </row>
    <row r="21" spans="1:13" x14ac:dyDescent="0.25">
      <c r="A21" t="s">
        <v>19</v>
      </c>
      <c r="B21" s="3">
        <f xml:space="preserve"> B9 - '+0 seg'!$B$9</f>
        <v>2.0000000000000018E-3</v>
      </c>
      <c r="C21" s="3">
        <f xml:space="preserve"> C9 - '+0 seg'!$C$9</f>
        <v>6.0000000000000053E-3</v>
      </c>
      <c r="D21" s="3">
        <f xml:space="preserve"> D9 - '+0 seg'!$D$9</f>
        <v>2.9999999999999888E-3</v>
      </c>
      <c r="E21" s="3">
        <f xml:space="preserve"> E9 - '+0 seg'!$E$9</f>
        <v>2.0000000000000018E-3</v>
      </c>
      <c r="F21" s="3">
        <f xml:space="preserve"> F9 - '+0 seg'!$F$9</f>
        <v>2.9999999999999888E-3</v>
      </c>
      <c r="G21" s="3">
        <f xml:space="preserve"> G9 - '+0 seg'!$G$9</f>
        <v>5.9999999999999915E-3</v>
      </c>
      <c r="H21" s="3">
        <f xml:space="preserve"> H9 - '+0 seg'!$H$9</f>
        <v>9.9999999999998701E-4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-1.4000000000000012E-2</v>
      </c>
      <c r="C22" s="3">
        <f xml:space="preserve"> C10 - '+0 seg'!$C$10</f>
        <v>1.6000000000000014E-2</v>
      </c>
      <c r="D22" s="3">
        <f xml:space="preserve"> D10 - '+0 seg'!$D$10</f>
        <v>-1.0000000000000009E-3</v>
      </c>
      <c r="E22" s="3">
        <f xml:space="preserve"> E10 - '+0 seg'!$E$10</f>
        <v>0</v>
      </c>
      <c r="F22" s="3">
        <f xml:space="preserve"> F10 - '+0 seg'!$F$10</f>
        <v>1.6999999999999987E-2</v>
      </c>
      <c r="G22" s="3">
        <f xml:space="preserve"> G10 - '+0 seg'!$G$10</f>
        <v>6.0000000000000053E-3</v>
      </c>
      <c r="H22" s="3">
        <f xml:space="preserve"> H10 - '+0 seg'!$H$10</f>
        <v>1.0000000000000009E-3</v>
      </c>
      <c r="I22" s="3">
        <f xml:space="preserve"> I10 - '+0 seg'!$I$10</f>
        <v>1.0000000000000009E-3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1.0000000000000009E-3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1.9999999999999948E-3</v>
      </c>
      <c r="C26" s="3">
        <f>STDEV(B15:C15)</f>
        <v>9.8130778667735948E-18</v>
      </c>
      <c r="D26" s="3">
        <f t="shared" ref="D26:H33" si="0">AVERAGE(D15:E15)</f>
        <v>4.500000000000004E-3</v>
      </c>
      <c r="E26" s="3">
        <f>STDEV(D15:E15)</f>
        <v>7.0710678118654816E-4</v>
      </c>
      <c r="F26" s="3">
        <f t="shared" si="0"/>
        <v>4.9999999999999351E-4</v>
      </c>
      <c r="G26" s="3">
        <f>STDEV(F15:G15)</f>
        <v>3.5355339059327312E-3</v>
      </c>
      <c r="H26" s="3">
        <f t="shared" si="0"/>
        <v>5.0000000000000044E-4</v>
      </c>
      <c r="I26" s="3">
        <f>STDEV(H15:I15)</f>
        <v>7.0710678118654816E-4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-9.9999999999999742E-4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4.9999999999998657E-4</v>
      </c>
      <c r="C27" s="3">
        <f t="shared" ref="C27:E33" si="2">STDEV(B16:C16)</f>
        <v>7.0710678118652854E-4</v>
      </c>
      <c r="D27" s="3">
        <f t="shared" si="0"/>
        <v>2.4999999999999953E-3</v>
      </c>
      <c r="E27" s="3">
        <f t="shared" si="2"/>
        <v>7.0710678118653841E-4</v>
      </c>
      <c r="F27" s="3">
        <f t="shared" si="0"/>
        <v>4.0000000000000036E-3</v>
      </c>
      <c r="G27" s="3">
        <f t="shared" ref="G27:G33" si="3">STDEV(F16:G16)</f>
        <v>1.4142135623730963E-3</v>
      </c>
      <c r="H27" s="3">
        <f t="shared" si="0"/>
        <v>4.0000000000000036E-3</v>
      </c>
      <c r="I27" s="3">
        <f t="shared" ref="I27:I33" si="4">STDEV(H16:I16)</f>
        <v>1.4142135623730963E-3</v>
      </c>
      <c r="L27" s="3"/>
      <c r="M27" s="3"/>
    </row>
    <row r="28" spans="1:13" x14ac:dyDescent="0.25">
      <c r="A28" t="s">
        <v>15</v>
      </c>
      <c r="B28" s="3">
        <f t="shared" si="1"/>
        <v>3.5000000000000031E-3</v>
      </c>
      <c r="C28" s="3">
        <f t="shared" si="2"/>
        <v>3.5355339059327407E-3</v>
      </c>
      <c r="D28" s="3">
        <f t="shared" si="0"/>
        <v>2.0000000000000018E-3</v>
      </c>
      <c r="E28" s="3">
        <f t="shared" si="2"/>
        <v>2.8284271247461927E-3</v>
      </c>
      <c r="F28" s="3">
        <f t="shared" si="0"/>
        <v>-2.5000000000000092E-3</v>
      </c>
      <c r="G28" s="3">
        <f t="shared" si="3"/>
        <v>6.3639610306789234E-3</v>
      </c>
      <c r="H28" s="3">
        <f t="shared" si="0"/>
        <v>-1.5000000000000013E-3</v>
      </c>
      <c r="I28" s="3">
        <f t="shared" si="4"/>
        <v>6.3639610306789329E-3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3.9999999999999897E-3</v>
      </c>
      <c r="C29" s="3">
        <f t="shared" si="2"/>
        <v>1.962615573354719E-17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6.499999999999985E-3</v>
      </c>
      <c r="G29" s="3">
        <f t="shared" si="3"/>
        <v>4.9497474683058273E-3</v>
      </c>
      <c r="H29" s="3">
        <f t="shared" si="0"/>
        <v>1.9999999999999948E-3</v>
      </c>
      <c r="I29" s="3">
        <f t="shared" si="4"/>
        <v>2.8284271247461827E-3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1.5000000000000013E-3</v>
      </c>
      <c r="C30" s="3">
        <f t="shared" si="2"/>
        <v>7.0710678118654816E-4</v>
      </c>
      <c r="D30" s="3">
        <f t="shared" si="0"/>
        <v>3.0000000000000027E-3</v>
      </c>
      <c r="E30" s="3">
        <f t="shared" si="2"/>
        <v>0</v>
      </c>
      <c r="F30" s="3">
        <f t="shared" si="0"/>
        <v>7.4999999999999997E-3</v>
      </c>
      <c r="G30" s="3">
        <f t="shared" si="3"/>
        <v>7.0710678118655803E-4</v>
      </c>
      <c r="H30" s="3">
        <f t="shared" si="0"/>
        <v>1.0000000000000009E-3</v>
      </c>
      <c r="I30" s="3">
        <f t="shared" si="4"/>
        <v>8.4852813742385784E-3</v>
      </c>
      <c r="J30" s="3">
        <f>AVERAGE(J19:J20)</f>
        <v>-9.9999999999999742E-4</v>
      </c>
      <c r="K30" s="3">
        <f>STDEV(J19:J20)</f>
        <v>4.9065389333867974E-18</v>
      </c>
      <c r="L30" s="3">
        <f>AVERAGE(K19:K20)</f>
        <v>0</v>
      </c>
      <c r="M30" s="3">
        <f>STDEV(K19:K20)</f>
        <v>0</v>
      </c>
    </row>
    <row r="31" spans="1:13" x14ac:dyDescent="0.25">
      <c r="A31" t="s">
        <v>18</v>
      </c>
      <c r="B31" s="3">
        <f t="shared" si="1"/>
        <v>3.9999999999999966E-3</v>
      </c>
      <c r="C31" s="3">
        <f t="shared" si="2"/>
        <v>1.4142135623730866E-3</v>
      </c>
      <c r="D31" s="3">
        <f t="shared" si="0"/>
        <v>-1.0000000000000009E-3</v>
      </c>
      <c r="E31" s="3">
        <f t="shared" si="2"/>
        <v>2.8284271247461927E-3</v>
      </c>
      <c r="F31" s="3">
        <f t="shared" si="0"/>
        <v>3.5000000000000031E-3</v>
      </c>
      <c r="G31" s="3">
        <f t="shared" si="3"/>
        <v>2.121320343559645E-3</v>
      </c>
      <c r="H31" s="3">
        <f t="shared" si="0"/>
        <v>1.0000000000000044E-3</v>
      </c>
      <c r="I31" s="3">
        <f t="shared" si="4"/>
        <v>2.8284271247461874E-3</v>
      </c>
      <c r="L31" s="3"/>
      <c r="M31" s="3"/>
    </row>
    <row r="32" spans="1:13" x14ac:dyDescent="0.25">
      <c r="A32" t="s">
        <v>19</v>
      </c>
      <c r="B32" s="3">
        <f t="shared" si="1"/>
        <v>4.0000000000000036E-3</v>
      </c>
      <c r="C32" s="3">
        <f t="shared" si="2"/>
        <v>2.8284271247461922E-3</v>
      </c>
      <c r="D32" s="3">
        <f t="shared" si="0"/>
        <v>2.4999999999999953E-3</v>
      </c>
      <c r="E32" s="3">
        <f t="shared" si="2"/>
        <v>7.0710678118653841E-4</v>
      </c>
      <c r="F32" s="3">
        <f t="shared" si="0"/>
        <v>4.4999999999999901E-3</v>
      </c>
      <c r="G32" s="3">
        <f t="shared" si="3"/>
        <v>2.1213203435596459E-3</v>
      </c>
      <c r="H32" s="3">
        <f t="shared" si="0"/>
        <v>4.9999999999999351E-4</v>
      </c>
      <c r="I32" s="3">
        <f t="shared" si="4"/>
        <v>7.0710678118653841E-4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1.0000000000000009E-3</v>
      </c>
      <c r="C33" s="3">
        <f t="shared" si="2"/>
        <v>2.1213203435596444E-2</v>
      </c>
      <c r="D33" s="3">
        <f t="shared" si="0"/>
        <v>-5.0000000000000044E-4</v>
      </c>
      <c r="E33" s="3">
        <f t="shared" si="2"/>
        <v>7.0710678118654816E-4</v>
      </c>
      <c r="F33" s="3">
        <f t="shared" si="0"/>
        <v>1.1499999999999996E-2</v>
      </c>
      <c r="G33" s="3">
        <f t="shared" si="3"/>
        <v>7.7781745930520091E-3</v>
      </c>
      <c r="H33" s="3">
        <f t="shared" si="0"/>
        <v>1.0000000000000009E-3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9.8000000000000004E-2</v>
      </c>
      <c r="C3">
        <v>8.6999999999999994E-2</v>
      </c>
      <c r="D3">
        <v>7.8E-2</v>
      </c>
      <c r="E3">
        <v>8.2000000000000003E-2</v>
      </c>
      <c r="F3">
        <v>0.14599999999999999</v>
      </c>
      <c r="G3">
        <v>0.11899999999999999</v>
      </c>
      <c r="H3">
        <v>8.3000000000000004E-2</v>
      </c>
      <c r="I3">
        <v>6.2E-2</v>
      </c>
      <c r="J3">
        <v>5.1999999999999998E-2</v>
      </c>
      <c r="K3">
        <v>4.8000000000000001E-2</v>
      </c>
      <c r="L3">
        <v>0.12</v>
      </c>
      <c r="M3">
        <v>9.1999999999999998E-2</v>
      </c>
    </row>
    <row r="4" spans="1:13" x14ac:dyDescent="0.25">
      <c r="A4" t="s">
        <v>14</v>
      </c>
      <c r="B4">
        <v>0.129</v>
      </c>
      <c r="C4">
        <v>0.14099999999999999</v>
      </c>
      <c r="D4">
        <v>7.9000000000000001E-2</v>
      </c>
      <c r="E4">
        <v>8.6999999999999994E-2</v>
      </c>
      <c r="F4">
        <v>0.151</v>
      </c>
      <c r="G4">
        <v>0.13</v>
      </c>
      <c r="H4">
        <v>9.7000000000000003E-2</v>
      </c>
      <c r="I4">
        <v>9.5000000000000001E-2</v>
      </c>
      <c r="J4">
        <v>6.2E-2</v>
      </c>
      <c r="K4">
        <v>5.3999999999999999E-2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0.14299999999999999</v>
      </c>
      <c r="C5">
        <v>0.14899999999999999</v>
      </c>
      <c r="D5">
        <v>8.4000000000000005E-2</v>
      </c>
      <c r="E5">
        <v>7.9000000000000001E-2</v>
      </c>
      <c r="F5">
        <v>0.104</v>
      </c>
      <c r="G5">
        <v>0.109</v>
      </c>
      <c r="H5">
        <v>0.08</v>
      </c>
      <c r="I5">
        <v>6.3E-2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0.17599999999999999</v>
      </c>
      <c r="C6">
        <v>0.19</v>
      </c>
      <c r="D6">
        <v>8.3000000000000004E-2</v>
      </c>
      <c r="E6">
        <v>9.0999999999999998E-2</v>
      </c>
      <c r="F6">
        <v>0.12</v>
      </c>
      <c r="G6">
        <v>0.21</v>
      </c>
      <c r="H6">
        <v>7.0999999999999994E-2</v>
      </c>
      <c r="I6">
        <v>0.11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25">
      <c r="A7" t="s">
        <v>17</v>
      </c>
      <c r="B7">
        <v>0.13700000000000001</v>
      </c>
      <c r="C7">
        <v>0.14599999999999999</v>
      </c>
      <c r="D7">
        <v>8.3000000000000004E-2</v>
      </c>
      <c r="E7">
        <v>9.1999999999999998E-2</v>
      </c>
      <c r="F7">
        <v>0.12</v>
      </c>
      <c r="G7">
        <v>0.113</v>
      </c>
      <c r="H7">
        <v>0.10299999999999999</v>
      </c>
      <c r="I7">
        <v>7.9000000000000001E-2</v>
      </c>
      <c r="J7">
        <v>6.9000000000000006E-2</v>
      </c>
      <c r="K7">
        <v>6.9000000000000006E-2</v>
      </c>
      <c r="L7">
        <v>0.64800000000000002</v>
      </c>
      <c r="M7">
        <v>9.6000000000000002E-2</v>
      </c>
    </row>
    <row r="8" spans="1:13" x14ac:dyDescent="0.25">
      <c r="A8" t="s">
        <v>18</v>
      </c>
      <c r="B8">
        <v>0.12</v>
      </c>
      <c r="C8">
        <v>9.2999999999999999E-2</v>
      </c>
      <c r="D8">
        <v>7.6999999999999999E-2</v>
      </c>
      <c r="E8">
        <v>7.6999999999999999E-2</v>
      </c>
      <c r="F8">
        <v>0.10100000000000001</v>
      </c>
      <c r="G8">
        <v>8.1000000000000003E-2</v>
      </c>
      <c r="H8">
        <v>0.08</v>
      </c>
      <c r="I8">
        <v>5.7000000000000002E-2</v>
      </c>
      <c r="J8">
        <v>0.05</v>
      </c>
      <c r="K8">
        <v>6.2E-2</v>
      </c>
      <c r="L8">
        <v>0.36599999999999999</v>
      </c>
      <c r="M8">
        <v>9.8000000000000004E-2</v>
      </c>
    </row>
    <row r="9" spans="1:13" x14ac:dyDescent="0.25">
      <c r="A9" t="s">
        <v>19</v>
      </c>
      <c r="B9">
        <v>0.152</v>
      </c>
      <c r="C9">
        <v>0.16800000000000001</v>
      </c>
      <c r="D9">
        <v>0.104</v>
      </c>
      <c r="E9">
        <v>0.108</v>
      </c>
      <c r="F9">
        <v>0.12</v>
      </c>
      <c r="G9">
        <v>0.105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0.20599999999999999</v>
      </c>
      <c r="C10">
        <v>0.222</v>
      </c>
      <c r="D10">
        <v>0.104</v>
      </c>
      <c r="E10">
        <v>0.112</v>
      </c>
      <c r="F10">
        <v>0.247</v>
      </c>
      <c r="G10">
        <v>0.16500000000000001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0</v>
      </c>
      <c r="C15" s="3">
        <f xml:space="preserve"> C3 - '+0 seg'!$C$3</f>
        <v>1.9999999999999879E-3</v>
      </c>
      <c r="D15" s="3">
        <f xml:space="preserve"> D3 - '+0 seg'!$D$3</f>
        <v>5.0000000000000044E-3</v>
      </c>
      <c r="E15" s="3">
        <f xml:space="preserve"> E3 - '+0 seg'!$E$3</f>
        <v>-4.9999999999999906E-3</v>
      </c>
      <c r="F15" s="3">
        <f xml:space="preserve"> F3 - '+0 seg'!$F$3</f>
        <v>-1.0000000000000009E-3</v>
      </c>
      <c r="G15" s="3">
        <f xml:space="preserve"> G3 - '+0 seg'!$G$3</f>
        <v>3.9999999999999897E-3</v>
      </c>
      <c r="H15" s="3">
        <f xml:space="preserve"> H3 - '+0 seg'!$H$3</f>
        <v>0</v>
      </c>
      <c r="I15" s="3">
        <f xml:space="preserve"> I3 - '+0 seg'!$I$3</f>
        <v>1.0000000000000009E-3</v>
      </c>
      <c r="J15" s="3">
        <f xml:space="preserve"> J3 - '+0 seg'!$J$3</f>
        <v>1.0000000000000009E-3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</row>
    <row r="16" spans="1:13" x14ac:dyDescent="0.25">
      <c r="A16" t="s">
        <v>14</v>
      </c>
      <c r="B16" s="3">
        <f xml:space="preserve"> B4 - '+0 seg'!$B$4</f>
        <v>1.0000000000000009E-3</v>
      </c>
      <c r="C16" s="3">
        <f xml:space="preserve"> C4 - '+0 seg'!$C$4</f>
        <v>9.9999999999997313E-4</v>
      </c>
      <c r="D16" s="3">
        <f xml:space="preserve"> D4 - '+0 seg'!$D$4</f>
        <v>3.0000000000000027E-3</v>
      </c>
      <c r="E16" s="3">
        <f xml:space="preserve"> E4 - '+0 seg'!$E$4</f>
        <v>2.9999999999999888E-3</v>
      </c>
      <c r="F16" s="3">
        <f xml:space="preserve"> F4 - '+0 seg'!$F$4</f>
        <v>5.0000000000000044E-3</v>
      </c>
      <c r="G16" s="3">
        <f xml:space="preserve"> G4 - '+0 seg'!$G$4</f>
        <v>3.0000000000000027E-3</v>
      </c>
      <c r="H16" s="3">
        <f xml:space="preserve"> H4 - '+0 seg'!$H$4</f>
        <v>6.0000000000000053E-3</v>
      </c>
      <c r="I16" s="3">
        <f xml:space="preserve"> I4 - '+0 seg'!$I$4</f>
        <v>3.0000000000000027E-3</v>
      </c>
      <c r="J16" s="3">
        <f xml:space="preserve"> J4 - '+0 seg'!$J$4</f>
        <v>0</v>
      </c>
      <c r="K16" s="3">
        <f xml:space="preserve"> K4 - '+0 seg'!$K$4</f>
        <v>2.0000000000000018E-3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2.0000000000000018E-3</v>
      </c>
      <c r="C17" s="3">
        <f xml:space="preserve"> C5 - '+0 seg'!$C$5</f>
        <v>7.0000000000000062E-3</v>
      </c>
      <c r="D17" s="3">
        <f xml:space="preserve"> D5 - '+0 seg'!$D$5</f>
        <v>4.0000000000000036E-3</v>
      </c>
      <c r="E17" s="3">
        <f xml:space="preserve"> E5 - '+0 seg'!$E$5</f>
        <v>-1.0000000000000009E-3</v>
      </c>
      <c r="F17" s="3">
        <f xml:space="preserve"> F5 - '+0 seg'!$F$5</f>
        <v>2.9999999999999888E-3</v>
      </c>
      <c r="G17" s="3">
        <f xml:space="preserve"> G5 - '+0 seg'!$G$5</f>
        <v>-7.0000000000000062E-3</v>
      </c>
      <c r="H17" s="3">
        <f xml:space="preserve"> H5 - '+0 seg'!$H$5</f>
        <v>5.0000000000000044E-3</v>
      </c>
      <c r="I17" s="3">
        <f xml:space="preserve"> I5 - '+0 seg'!$I$5</f>
        <v>-6.0000000000000053E-3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4.9999999999999767E-3</v>
      </c>
      <c r="C18" s="3">
        <f xml:space="preserve"> C6 - '+0 seg'!$C$6</f>
        <v>6.0000000000000053E-3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2.9999999999999888E-3</v>
      </c>
      <c r="G18" s="3">
        <f xml:space="preserve"> G6 - '+0 seg'!$G$6</f>
        <v>1.0999999999999982E-2</v>
      </c>
      <c r="H18" s="3">
        <f xml:space="preserve"> H6 - '+0 seg'!$H$6</f>
        <v>2.9999999999999888E-3</v>
      </c>
      <c r="I18" s="3">
        <f xml:space="preserve"> I6 - '+0 seg'!$I$6</f>
        <v>1.0000000000000009E-3</v>
      </c>
      <c r="J18" s="3">
        <f xml:space="preserve"> J6 - '+0 seg'!$J$6</f>
        <v>0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</row>
    <row r="19" spans="1:13" x14ac:dyDescent="0.25">
      <c r="A19" t="s">
        <v>17</v>
      </c>
      <c r="B19" s="3">
        <f xml:space="preserve"> B7 - '+0 seg'!$B$7</f>
        <v>3.0000000000000027E-3</v>
      </c>
      <c r="C19" s="3">
        <f xml:space="preserve"> C7 - '+0 seg'!$C$7</f>
        <v>-5.0000000000000044E-3</v>
      </c>
      <c r="D19" s="3">
        <f xml:space="preserve"> D7 - '+0 seg'!$D$7</f>
        <v>3.0000000000000027E-3</v>
      </c>
      <c r="E19" s="3">
        <f xml:space="preserve"> E7 - '+0 seg'!$E$7</f>
        <v>4.0000000000000036E-3</v>
      </c>
      <c r="F19" s="3">
        <f xml:space="preserve"> F7 - '+0 seg'!$F$7</f>
        <v>7.9999999999999932E-3</v>
      </c>
      <c r="G19" s="3">
        <f xml:space="preserve"> G7 - '+0 seg'!$G$7</f>
        <v>1.0000000000000009E-2</v>
      </c>
      <c r="H19" s="3">
        <f xml:space="preserve"> H7 - '+0 seg'!$H$7</f>
        <v>8.9999999999999941E-3</v>
      </c>
      <c r="I19" s="3">
        <f xml:space="preserve"> I7 - '+0 seg'!$I$7</f>
        <v>-5.0000000000000044E-3</v>
      </c>
      <c r="J19" s="3">
        <f xml:space="preserve"> J7 - '+0 seg'!$J$7</f>
        <v>0</v>
      </c>
      <c r="K19" s="3">
        <f xml:space="preserve"> K7 - '+0 seg'!$K$7</f>
        <v>0</v>
      </c>
      <c r="L19" s="3">
        <f xml:space="preserve"> L7 - '+0 seg'!$L$7</f>
        <v>5.0000000000000044E-3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3.9999999999999897E-3</v>
      </c>
      <c r="C20" s="3">
        <f xml:space="preserve"> C8 - '+0 seg'!$C$8</f>
        <v>2.0000000000000018E-3</v>
      </c>
      <c r="D20" s="3">
        <f xml:space="preserve"> D8 - '+0 seg'!$D$8</f>
        <v>-2.0000000000000018E-3</v>
      </c>
      <c r="E20" s="3">
        <f xml:space="preserve"> E8 - '+0 seg'!$E$8</f>
        <v>2.0000000000000018E-3</v>
      </c>
      <c r="F20" s="3">
        <f xml:space="preserve"> F8 - '+0 seg'!$F$8</f>
        <v>5.0000000000000044E-3</v>
      </c>
      <c r="G20" s="3">
        <f xml:space="preserve"> G8 - '+0 seg'!$G$8</f>
        <v>2.0000000000000018E-3</v>
      </c>
      <c r="H20" s="3">
        <f xml:space="preserve"> H8 - '+0 seg'!$H$8</f>
        <v>4.0000000000000036E-3</v>
      </c>
      <c r="I20" s="3">
        <f xml:space="preserve"> I8 - '+0 seg'!$I$8</f>
        <v>-1.9999999999999948E-3</v>
      </c>
      <c r="J20" s="3">
        <f xml:space="preserve"> J8 - '+0 seg'!$J$8</f>
        <v>-9.9999999999999395E-4</v>
      </c>
      <c r="K20" s="3">
        <f xml:space="preserve"> K8 - '+0 seg'!$K$8</f>
        <v>0</v>
      </c>
      <c r="L20" s="3">
        <f xml:space="preserve"> L8 - '+0 seg'!$L$8</f>
        <v>-3.0000000000000027E-3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1.0000000000000009E-3</v>
      </c>
      <c r="C21" s="3">
        <f xml:space="preserve"> C9 - '+0 seg'!$C$9</f>
        <v>6.0000000000000053E-3</v>
      </c>
      <c r="D21" s="3">
        <f xml:space="preserve"> D9 - '+0 seg'!$D$9</f>
        <v>3.9999999999999897E-3</v>
      </c>
      <c r="E21" s="3">
        <f xml:space="preserve"> E9 - '+0 seg'!$E$9</f>
        <v>3.0000000000000027E-3</v>
      </c>
      <c r="F21" s="3">
        <f xml:space="preserve"> F9 - '+0 seg'!$F$9</f>
        <v>3.9999999999999897E-3</v>
      </c>
      <c r="G21" s="3">
        <f xml:space="preserve"> G9 - '+0 seg'!$G$9</f>
        <v>6.9999999999999923E-3</v>
      </c>
      <c r="H21" s="3">
        <f xml:space="preserve"> H9 - '+0 seg'!$H$9</f>
        <v>0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-1.3000000000000012E-2</v>
      </c>
      <c r="C22" s="3">
        <f xml:space="preserve"> C10 - '+0 seg'!$C$10</f>
        <v>1.7000000000000015E-2</v>
      </c>
      <c r="D22" s="3">
        <f xml:space="preserve"> D10 - '+0 seg'!$D$10</f>
        <v>-1.0000000000000009E-3</v>
      </c>
      <c r="E22" s="3">
        <f xml:space="preserve"> E10 - '+0 seg'!$E$10</f>
        <v>0</v>
      </c>
      <c r="F22" s="3">
        <f xml:space="preserve"> F10 - '+0 seg'!$F$10</f>
        <v>2.0999999999999991E-2</v>
      </c>
      <c r="G22" s="3">
        <f xml:space="preserve"> G10 - '+0 seg'!$G$10</f>
        <v>6.0000000000000053E-3</v>
      </c>
      <c r="H22" s="3">
        <f xml:space="preserve"> H10 - '+0 seg'!$H$10</f>
        <v>1.0000000000000009E-3</v>
      </c>
      <c r="I22" s="3">
        <f xml:space="preserve"> I10 - '+0 seg'!$I$10</f>
        <v>1.0000000000000009E-3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1.0000000000000009E-3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9.9999999999999395E-4</v>
      </c>
      <c r="C26" s="3">
        <f>STDEV(B15:C15)</f>
        <v>1.4142135623730866E-3</v>
      </c>
      <c r="D26" s="3">
        <f t="shared" ref="D26:H33" si="0">AVERAGE(D15:E15)</f>
        <v>6.9388939039072284E-18</v>
      </c>
      <c r="E26" s="3">
        <f>STDEV(D15:E15)</f>
        <v>7.0710678118654719E-3</v>
      </c>
      <c r="F26" s="3">
        <f t="shared" si="0"/>
        <v>1.4999999999999944E-3</v>
      </c>
      <c r="G26" s="3">
        <f>STDEV(F15:G15)</f>
        <v>3.5355339059327307E-3</v>
      </c>
      <c r="H26" s="3">
        <f t="shared" si="0"/>
        <v>5.0000000000000044E-4</v>
      </c>
      <c r="I26" s="3">
        <f>STDEV(H15:I15)</f>
        <v>7.0710678118654816E-4</v>
      </c>
      <c r="J26" s="3">
        <f>AVERAGE(J15:J16)</f>
        <v>5.0000000000000044E-4</v>
      </c>
      <c r="K26" s="3">
        <f>STDEV(J15:J16)</f>
        <v>7.0710678118654816E-4</v>
      </c>
      <c r="L26" s="3">
        <f>AVERAGE(K15:K16)</f>
        <v>-9.9999999999999742E-4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9.9999999999998701E-4</v>
      </c>
      <c r="C27" s="3">
        <f t="shared" ref="C27:E33" si="2">STDEV(B16:C16)</f>
        <v>1.962615573354719E-17</v>
      </c>
      <c r="D27" s="3">
        <f t="shared" si="0"/>
        <v>2.9999999999999957E-3</v>
      </c>
      <c r="E27" s="3">
        <f t="shared" si="2"/>
        <v>9.8130778667735948E-18</v>
      </c>
      <c r="F27" s="3">
        <f t="shared" si="0"/>
        <v>4.0000000000000036E-3</v>
      </c>
      <c r="G27" s="3">
        <f t="shared" ref="G27:G33" si="3">STDEV(F16:G16)</f>
        <v>1.4142135623730963E-3</v>
      </c>
      <c r="H27" s="3">
        <f t="shared" si="0"/>
        <v>4.500000000000004E-3</v>
      </c>
      <c r="I27" s="3">
        <f t="shared" ref="I27:I33" si="4">STDEV(H16:I16)</f>
        <v>2.1213203435596446E-3</v>
      </c>
      <c r="L27" s="3"/>
      <c r="M27" s="3"/>
    </row>
    <row r="28" spans="1:13" x14ac:dyDescent="0.25">
      <c r="A28" t="s">
        <v>15</v>
      </c>
      <c r="B28" s="3">
        <f t="shared" si="1"/>
        <v>4.500000000000004E-3</v>
      </c>
      <c r="C28" s="3">
        <f t="shared" si="2"/>
        <v>3.5355339059327411E-3</v>
      </c>
      <c r="D28" s="3">
        <f t="shared" si="0"/>
        <v>1.5000000000000013E-3</v>
      </c>
      <c r="E28" s="3">
        <f t="shared" si="2"/>
        <v>3.5355339059327407E-3</v>
      </c>
      <c r="F28" s="3">
        <f t="shared" si="0"/>
        <v>-2.0000000000000087E-3</v>
      </c>
      <c r="G28" s="3">
        <f t="shared" si="3"/>
        <v>7.0710678118654719E-3</v>
      </c>
      <c r="H28" s="3">
        <f t="shared" si="0"/>
        <v>-5.0000000000000044E-4</v>
      </c>
      <c r="I28" s="3">
        <f t="shared" si="4"/>
        <v>7.7781745930520299E-3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5.499999999999991E-3</v>
      </c>
      <c r="C29" s="3">
        <f t="shared" si="2"/>
        <v>7.0710678118656779E-4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6.9999999999999854E-3</v>
      </c>
      <c r="G29" s="3">
        <f t="shared" si="3"/>
        <v>5.6568542494923749E-3</v>
      </c>
      <c r="H29" s="3">
        <f t="shared" si="0"/>
        <v>1.9999999999999948E-3</v>
      </c>
      <c r="I29" s="3">
        <f t="shared" si="4"/>
        <v>1.4142135623730866E-3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-1.0000000000000009E-3</v>
      </c>
      <c r="C30" s="3">
        <f t="shared" si="2"/>
        <v>5.6568542494923853E-3</v>
      </c>
      <c r="D30" s="3">
        <f t="shared" si="0"/>
        <v>3.5000000000000031E-3</v>
      </c>
      <c r="E30" s="3">
        <f t="shared" si="2"/>
        <v>7.0710678118654816E-4</v>
      </c>
      <c r="F30" s="3">
        <f t="shared" si="0"/>
        <v>9.0000000000000011E-3</v>
      </c>
      <c r="G30" s="3">
        <f t="shared" si="3"/>
        <v>1.4142135623731061E-3</v>
      </c>
      <c r="H30" s="3">
        <f t="shared" si="0"/>
        <v>1.9999999999999948E-3</v>
      </c>
      <c r="I30" s="3">
        <f t="shared" si="4"/>
        <v>9.899494936611665E-3</v>
      </c>
      <c r="J30" s="3">
        <f>AVERAGE(J19:J20)</f>
        <v>-4.9999999999999697E-4</v>
      </c>
      <c r="K30" s="3">
        <f>STDEV(J19:J20)</f>
        <v>7.0710678118654328E-4</v>
      </c>
      <c r="L30" s="3">
        <f>AVERAGE(K19:K20)</f>
        <v>0</v>
      </c>
      <c r="M30" s="3">
        <f>STDEV(K19:K20)</f>
        <v>0</v>
      </c>
    </row>
    <row r="31" spans="1:13" x14ac:dyDescent="0.25">
      <c r="A31" t="s">
        <v>18</v>
      </c>
      <c r="B31" s="3">
        <f t="shared" si="1"/>
        <v>2.9999999999999957E-3</v>
      </c>
      <c r="C31" s="3">
        <f t="shared" si="2"/>
        <v>1.4142135623730866E-3</v>
      </c>
      <c r="D31" s="3">
        <f t="shared" si="0"/>
        <v>0</v>
      </c>
      <c r="E31" s="3">
        <f t="shared" si="2"/>
        <v>2.8284271247461927E-3</v>
      </c>
      <c r="F31" s="3">
        <f t="shared" si="0"/>
        <v>3.5000000000000031E-3</v>
      </c>
      <c r="G31" s="3">
        <f t="shared" si="3"/>
        <v>2.121320343559645E-3</v>
      </c>
      <c r="H31" s="3">
        <f t="shared" si="0"/>
        <v>1.0000000000000044E-3</v>
      </c>
      <c r="I31" s="3">
        <f t="shared" si="4"/>
        <v>4.242640687119284E-3</v>
      </c>
      <c r="L31" s="3"/>
      <c r="M31" s="3"/>
    </row>
    <row r="32" spans="1:13" x14ac:dyDescent="0.25">
      <c r="A32" t="s">
        <v>19</v>
      </c>
      <c r="B32" s="3">
        <f t="shared" si="1"/>
        <v>3.5000000000000031E-3</v>
      </c>
      <c r="C32" s="3">
        <f t="shared" si="2"/>
        <v>3.5355339059327407E-3</v>
      </c>
      <c r="D32" s="3">
        <f t="shared" si="0"/>
        <v>3.4999999999999962E-3</v>
      </c>
      <c r="E32" s="3">
        <f t="shared" si="2"/>
        <v>7.0710678118653841E-4</v>
      </c>
      <c r="F32" s="3">
        <f t="shared" si="0"/>
        <v>5.499999999999991E-3</v>
      </c>
      <c r="G32" s="3">
        <f t="shared" si="3"/>
        <v>2.1213203435596446E-3</v>
      </c>
      <c r="H32" s="3">
        <f t="shared" si="0"/>
        <v>5.0000000000000044E-4</v>
      </c>
      <c r="I32" s="3">
        <f t="shared" si="4"/>
        <v>7.0710678118654816E-4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2.0000000000000018E-3</v>
      </c>
      <c r="C33" s="3">
        <f t="shared" si="2"/>
        <v>2.1213203435596444E-2</v>
      </c>
      <c r="D33" s="3">
        <f t="shared" si="0"/>
        <v>-5.0000000000000044E-4</v>
      </c>
      <c r="E33" s="3">
        <f t="shared" si="2"/>
        <v>7.0710678118654816E-4</v>
      </c>
      <c r="F33" s="3">
        <f t="shared" si="0"/>
        <v>1.3499999999999998E-2</v>
      </c>
      <c r="G33" s="3">
        <f t="shared" si="3"/>
        <v>1.0606601717798201E-2</v>
      </c>
      <c r="H33" s="3">
        <f t="shared" si="0"/>
        <v>1.0000000000000009E-3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</v>
      </c>
      <c r="C3">
        <v>8.7999999999999995E-2</v>
      </c>
      <c r="D3">
        <v>7.9000000000000001E-2</v>
      </c>
      <c r="E3">
        <v>9.4E-2</v>
      </c>
      <c r="F3">
        <v>0.14699999999999999</v>
      </c>
      <c r="G3">
        <v>0.12</v>
      </c>
      <c r="H3">
        <v>8.3000000000000004E-2</v>
      </c>
      <c r="I3">
        <v>6.3E-2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25">
      <c r="A4" t="s">
        <v>14</v>
      </c>
      <c r="B4">
        <v>0.13</v>
      </c>
      <c r="C4">
        <v>0.14199999999999999</v>
      </c>
      <c r="D4">
        <v>0.08</v>
      </c>
      <c r="E4">
        <v>0.09</v>
      </c>
      <c r="F4">
        <v>0.152</v>
      </c>
      <c r="G4">
        <v>0.13100000000000001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0.14299999999999999</v>
      </c>
      <c r="C5">
        <v>0.14899999999999999</v>
      </c>
      <c r="D5">
        <v>8.5000000000000006E-2</v>
      </c>
      <c r="E5">
        <v>7.9000000000000001E-2</v>
      </c>
      <c r="F5">
        <v>0.104</v>
      </c>
      <c r="G5">
        <v>0.109</v>
      </c>
      <c r="H5">
        <v>0.08</v>
      </c>
      <c r="I5">
        <v>6.3E-2</v>
      </c>
      <c r="J5">
        <v>9.2999999999999999E-2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0.17599999999999999</v>
      </c>
      <c r="C6">
        <v>0.19</v>
      </c>
      <c r="D6">
        <v>8.3000000000000004E-2</v>
      </c>
      <c r="E6">
        <v>9.1999999999999998E-2</v>
      </c>
      <c r="F6">
        <v>0.12</v>
      </c>
      <c r="G6">
        <v>0.21099999999999999</v>
      </c>
      <c r="H6">
        <v>7.0999999999999994E-2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25">
      <c r="A7" t="s">
        <v>17</v>
      </c>
      <c r="B7">
        <v>0.13600000000000001</v>
      </c>
      <c r="C7">
        <v>0.14799999999999999</v>
      </c>
      <c r="D7">
        <v>8.3000000000000004E-2</v>
      </c>
      <c r="E7">
        <v>9.2999999999999999E-2</v>
      </c>
      <c r="F7">
        <v>0.121</v>
      </c>
      <c r="G7">
        <v>0.114</v>
      </c>
      <c r="H7">
        <v>0.105</v>
      </c>
      <c r="I7">
        <v>7.8E-2</v>
      </c>
      <c r="J7">
        <v>6.9000000000000006E-2</v>
      </c>
      <c r="K7">
        <v>6.9000000000000006E-2</v>
      </c>
      <c r="L7">
        <v>0.65800000000000003</v>
      </c>
      <c r="M7">
        <v>9.6000000000000002E-2</v>
      </c>
    </row>
    <row r="8" spans="1:13" x14ac:dyDescent="0.25">
      <c r="A8" t="s">
        <v>18</v>
      </c>
      <c r="B8">
        <v>0.121</v>
      </c>
      <c r="C8">
        <v>9.2999999999999999E-2</v>
      </c>
      <c r="D8">
        <v>7.6999999999999999E-2</v>
      </c>
      <c r="E8">
        <v>7.6999999999999999E-2</v>
      </c>
      <c r="F8">
        <v>0.104</v>
      </c>
      <c r="G8">
        <v>8.1000000000000003E-2</v>
      </c>
      <c r="H8">
        <v>0.08</v>
      </c>
      <c r="I8">
        <v>5.7000000000000002E-2</v>
      </c>
      <c r="J8">
        <v>0.05</v>
      </c>
      <c r="K8">
        <v>6.2E-2</v>
      </c>
      <c r="L8">
        <v>0.36799999999999999</v>
      </c>
      <c r="M8">
        <v>9.8000000000000004E-2</v>
      </c>
    </row>
    <row r="9" spans="1:13" x14ac:dyDescent="0.25">
      <c r="A9" t="s">
        <v>19</v>
      </c>
      <c r="B9">
        <v>0.154</v>
      </c>
      <c r="C9">
        <v>0.16900000000000001</v>
      </c>
      <c r="D9">
        <v>0.104</v>
      </c>
      <c r="E9">
        <v>0.107</v>
      </c>
      <c r="F9">
        <v>0.12</v>
      </c>
      <c r="G9">
        <v>0.106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0.21299999999999999</v>
      </c>
      <c r="C10">
        <v>0.223</v>
      </c>
      <c r="D10">
        <v>0.104</v>
      </c>
      <c r="E10">
        <v>0.113</v>
      </c>
      <c r="F10">
        <v>0.248</v>
      </c>
      <c r="G10">
        <v>0.16500000000000001</v>
      </c>
      <c r="H10">
        <v>0.1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2.0000000000000018E-3</v>
      </c>
      <c r="C15" s="3">
        <f xml:space="preserve"> C3 - '+0 seg'!$C$3</f>
        <v>2.9999999999999888E-3</v>
      </c>
      <c r="D15" s="3">
        <f xml:space="preserve"> D3 - '+0 seg'!$D$3</f>
        <v>6.0000000000000053E-3</v>
      </c>
      <c r="E15" s="3">
        <f xml:space="preserve"> E3 - '+0 seg'!$E$3</f>
        <v>7.0000000000000062E-3</v>
      </c>
      <c r="F15" s="3">
        <f xml:space="preserve"> F3 - '+0 seg'!$F$3</f>
        <v>0</v>
      </c>
      <c r="G15" s="3">
        <f xml:space="preserve"> G3 - '+0 seg'!$G$3</f>
        <v>4.9999999999999906E-3</v>
      </c>
      <c r="H15" s="3">
        <f xml:space="preserve"> H3 - '+0 seg'!$H$3</f>
        <v>0</v>
      </c>
      <c r="I15" s="3">
        <f xml:space="preserve"> I3 - '+0 seg'!$I$3</f>
        <v>2.0000000000000018E-3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</row>
    <row r="16" spans="1:13" x14ac:dyDescent="0.25">
      <c r="A16" t="s">
        <v>14</v>
      </c>
      <c r="B16" s="3">
        <f xml:space="preserve"> B4 - '+0 seg'!$B$4</f>
        <v>2.0000000000000018E-3</v>
      </c>
      <c r="C16" s="3">
        <f xml:space="preserve"> C4 - '+0 seg'!$C$4</f>
        <v>1.999999999999974E-3</v>
      </c>
      <c r="D16" s="3">
        <f xml:space="preserve"> D4 - '+0 seg'!$D$4</f>
        <v>4.0000000000000036E-3</v>
      </c>
      <c r="E16" s="3">
        <f xml:space="preserve"> E4 - '+0 seg'!$E$4</f>
        <v>5.9999999999999915E-3</v>
      </c>
      <c r="F16" s="3">
        <f xml:space="preserve"> F4 - '+0 seg'!$F$4</f>
        <v>6.0000000000000053E-3</v>
      </c>
      <c r="G16" s="3">
        <f xml:space="preserve"> G4 - '+0 seg'!$G$4</f>
        <v>4.0000000000000036E-3</v>
      </c>
      <c r="H16" s="3">
        <f xml:space="preserve"> H4 - '+0 seg'!$H$4</f>
        <v>6.0000000000000053E-3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2.0000000000000018E-3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2.0000000000000018E-3</v>
      </c>
      <c r="C17" s="3">
        <f xml:space="preserve"> C5 - '+0 seg'!$C$5</f>
        <v>7.0000000000000062E-3</v>
      </c>
      <c r="D17" s="3">
        <f xml:space="preserve"> D5 - '+0 seg'!$D$5</f>
        <v>5.0000000000000044E-3</v>
      </c>
      <c r="E17" s="3">
        <f xml:space="preserve"> E5 - '+0 seg'!$E$5</f>
        <v>-1.0000000000000009E-3</v>
      </c>
      <c r="F17" s="3">
        <f xml:space="preserve"> F5 - '+0 seg'!$F$5</f>
        <v>2.9999999999999888E-3</v>
      </c>
      <c r="G17" s="3">
        <f xml:space="preserve"> G5 - '+0 seg'!$G$5</f>
        <v>-7.0000000000000062E-3</v>
      </c>
      <c r="H17" s="3">
        <f xml:space="preserve"> H5 - '+0 seg'!$H$5</f>
        <v>5.0000000000000044E-3</v>
      </c>
      <c r="I17" s="3">
        <f xml:space="preserve"> I5 - '+0 seg'!$I$5</f>
        <v>-6.0000000000000053E-3</v>
      </c>
      <c r="J17" s="3">
        <f xml:space="preserve"> J5 - '+0 seg'!$J$5</f>
        <v>-1.0000000000000009E-3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4.9999999999999767E-3</v>
      </c>
      <c r="C18" s="3">
        <f xml:space="preserve"> C6 - '+0 seg'!$C$6</f>
        <v>6.0000000000000053E-3</v>
      </c>
      <c r="D18" s="3">
        <f xml:space="preserve"> D6 - '+0 seg'!$D$6</f>
        <v>1.0000000000000009E-3</v>
      </c>
      <c r="E18" s="3">
        <f xml:space="preserve"> E6 - '+0 seg'!$E$6</f>
        <v>1.0000000000000009E-3</v>
      </c>
      <c r="F18" s="3">
        <f xml:space="preserve"> F6 - '+0 seg'!$F$6</f>
        <v>2.9999999999999888E-3</v>
      </c>
      <c r="G18" s="3">
        <f xml:space="preserve"> G6 - '+0 seg'!$G$6</f>
        <v>1.1999999999999983E-2</v>
      </c>
      <c r="H18" s="3">
        <f xml:space="preserve"> H6 - '+0 seg'!$H$6</f>
        <v>2.9999999999999888E-3</v>
      </c>
      <c r="I18" s="3">
        <f xml:space="preserve"> I6 - '+0 seg'!$I$6</f>
        <v>0</v>
      </c>
      <c r="J18" s="3">
        <f xml:space="preserve"> J6 - '+0 seg'!$J$6</f>
        <v>0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0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-3.0000000000000027E-3</v>
      </c>
      <c r="D19" s="3">
        <f xml:space="preserve"> D7 - '+0 seg'!$D$7</f>
        <v>3.0000000000000027E-3</v>
      </c>
      <c r="E19" s="3">
        <f xml:space="preserve"> E7 - '+0 seg'!$E$7</f>
        <v>5.0000000000000044E-3</v>
      </c>
      <c r="F19" s="3">
        <f xml:space="preserve"> F7 - '+0 seg'!$F$7</f>
        <v>8.9999999999999941E-3</v>
      </c>
      <c r="G19" s="3">
        <f xml:space="preserve"> G7 - '+0 seg'!$G$7</f>
        <v>1.100000000000001E-2</v>
      </c>
      <c r="H19" s="3">
        <f xml:space="preserve"> H7 - '+0 seg'!$H$7</f>
        <v>1.0999999999999996E-2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0</v>
      </c>
      <c r="L19" s="3">
        <f xml:space="preserve"> L7 - '+0 seg'!$L$7</f>
        <v>1.5000000000000013E-2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2.0000000000000018E-3</v>
      </c>
      <c r="D20" s="3">
        <f xml:space="preserve"> D8 - '+0 seg'!$D$8</f>
        <v>-2.0000000000000018E-3</v>
      </c>
      <c r="E20" s="3">
        <f xml:space="preserve"> E8 - '+0 seg'!$E$8</f>
        <v>2.0000000000000018E-3</v>
      </c>
      <c r="F20" s="3">
        <f xml:space="preserve"> F8 - '+0 seg'!$F$8</f>
        <v>7.9999999999999932E-3</v>
      </c>
      <c r="G20" s="3">
        <f xml:space="preserve"> G8 - '+0 seg'!$G$8</f>
        <v>2.0000000000000018E-3</v>
      </c>
      <c r="H20" s="3">
        <f xml:space="preserve"> H8 - '+0 seg'!$H$8</f>
        <v>4.0000000000000036E-3</v>
      </c>
      <c r="I20" s="3">
        <f xml:space="preserve"> I8 - '+0 seg'!$I$8</f>
        <v>-1.9999999999999948E-3</v>
      </c>
      <c r="J20" s="3">
        <f xml:space="preserve"> J8 - '+0 seg'!$J$8</f>
        <v>-9.9999999999999395E-4</v>
      </c>
      <c r="K20" s="3">
        <f xml:space="preserve"> K8 - '+0 seg'!$K$8</f>
        <v>0</v>
      </c>
      <c r="L20" s="3">
        <f xml:space="preserve"> L8 - '+0 seg'!$L$8</f>
        <v>-1.0000000000000009E-3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3.0000000000000027E-3</v>
      </c>
      <c r="C21" s="3">
        <f xml:space="preserve"> C9 - '+0 seg'!$C$9</f>
        <v>7.0000000000000062E-3</v>
      </c>
      <c r="D21" s="3">
        <f xml:space="preserve"> D9 - '+0 seg'!$D$9</f>
        <v>3.9999999999999897E-3</v>
      </c>
      <c r="E21" s="3">
        <f xml:space="preserve"> E9 - '+0 seg'!$E$9</f>
        <v>2.0000000000000018E-3</v>
      </c>
      <c r="F21" s="3">
        <f xml:space="preserve"> F9 - '+0 seg'!$F$9</f>
        <v>3.9999999999999897E-3</v>
      </c>
      <c r="G21" s="3">
        <f xml:space="preserve"> G9 - '+0 seg'!$G$9</f>
        <v>7.9999999999999932E-3</v>
      </c>
      <c r="H21" s="3">
        <f xml:space="preserve"> H9 - '+0 seg'!$H$9</f>
        <v>9.9999999999998701E-4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-6.0000000000000053E-3</v>
      </c>
      <c r="C22" s="3">
        <f xml:space="preserve"> C10 - '+0 seg'!$C$10</f>
        <v>1.8000000000000016E-2</v>
      </c>
      <c r="D22" s="3">
        <f xml:space="preserve"> D10 - '+0 seg'!$D$10</f>
        <v>-1.0000000000000009E-3</v>
      </c>
      <c r="E22" s="3">
        <f xml:space="preserve"> E10 - '+0 seg'!$E$10</f>
        <v>1.0000000000000009E-3</v>
      </c>
      <c r="F22" s="3">
        <f xml:space="preserve"> F10 - '+0 seg'!$F$10</f>
        <v>2.1999999999999992E-2</v>
      </c>
      <c r="G22" s="3">
        <f xml:space="preserve"> G10 - '+0 seg'!$G$10</f>
        <v>6.0000000000000053E-3</v>
      </c>
      <c r="H22" s="3">
        <f xml:space="preserve"> H10 - '+0 seg'!$H$10</f>
        <v>3.0000000000000027E-3</v>
      </c>
      <c r="I22" s="3">
        <f xml:space="preserve"> I10 - '+0 seg'!$I$10</f>
        <v>1.0000000000000009E-3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1.0000000000000009E-3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2.4999999999999953E-3</v>
      </c>
      <c r="C26" s="3">
        <f>STDEV(B15:C15)</f>
        <v>7.0710678118653841E-4</v>
      </c>
      <c r="D26" s="3">
        <f t="shared" ref="D26:H33" si="0">AVERAGE(D15:E15)</f>
        <v>6.5000000000000058E-3</v>
      </c>
      <c r="E26" s="3">
        <f>STDEV(D15:E15)</f>
        <v>7.0710678118654816E-4</v>
      </c>
      <c r="F26" s="3">
        <f t="shared" si="0"/>
        <v>2.4999999999999953E-3</v>
      </c>
      <c r="G26" s="3">
        <f>STDEV(F15:G15)</f>
        <v>3.5355339059327312E-3</v>
      </c>
      <c r="H26" s="3">
        <f t="shared" si="0"/>
        <v>1.0000000000000009E-3</v>
      </c>
      <c r="I26" s="3">
        <f>STDEV(H15:I15)</f>
        <v>1.4142135623730963E-3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-9.9999999999999742E-4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1.9999999999999879E-3</v>
      </c>
      <c r="C27" s="3">
        <f t="shared" ref="C27:E33" si="2">STDEV(B16:C16)</f>
        <v>1.962615573354719E-17</v>
      </c>
      <c r="D27" s="3">
        <f t="shared" si="0"/>
        <v>4.9999999999999975E-3</v>
      </c>
      <c r="E27" s="3">
        <f t="shared" si="2"/>
        <v>1.4142135623730866E-3</v>
      </c>
      <c r="F27" s="3">
        <f t="shared" si="0"/>
        <v>5.0000000000000044E-3</v>
      </c>
      <c r="G27" s="3">
        <f t="shared" ref="G27:G33" si="3">STDEV(F16:G16)</f>
        <v>1.4142135623730963E-3</v>
      </c>
      <c r="H27" s="3">
        <f t="shared" si="0"/>
        <v>4.500000000000004E-3</v>
      </c>
      <c r="I27" s="3">
        <f t="shared" ref="I27:I33" si="4">STDEV(H16:I16)</f>
        <v>2.1213203435596446E-3</v>
      </c>
      <c r="L27" s="3"/>
      <c r="M27" s="3"/>
    </row>
    <row r="28" spans="1:13" x14ac:dyDescent="0.25">
      <c r="A28" t="s">
        <v>15</v>
      </c>
      <c r="B28" s="3">
        <f t="shared" si="1"/>
        <v>4.500000000000004E-3</v>
      </c>
      <c r="C28" s="3">
        <f t="shared" si="2"/>
        <v>3.5355339059327411E-3</v>
      </c>
      <c r="D28" s="3">
        <f t="shared" si="0"/>
        <v>2.0000000000000018E-3</v>
      </c>
      <c r="E28" s="3">
        <f t="shared" si="2"/>
        <v>4.2426406871192892E-3</v>
      </c>
      <c r="F28" s="3">
        <f t="shared" si="0"/>
        <v>-2.0000000000000087E-3</v>
      </c>
      <c r="G28" s="3">
        <f t="shared" si="3"/>
        <v>7.0710678118654719E-3</v>
      </c>
      <c r="H28" s="3">
        <f t="shared" si="0"/>
        <v>-5.0000000000000044E-4</v>
      </c>
      <c r="I28" s="3">
        <f t="shared" si="4"/>
        <v>7.7781745930520299E-3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5.499999999999991E-3</v>
      </c>
      <c r="C29" s="3">
        <f t="shared" si="2"/>
        <v>7.0710678118656779E-4</v>
      </c>
      <c r="D29" s="3">
        <f t="shared" si="0"/>
        <v>1.0000000000000009E-3</v>
      </c>
      <c r="E29" s="3">
        <f t="shared" si="2"/>
        <v>0</v>
      </c>
      <c r="F29" s="3">
        <f t="shared" si="0"/>
        <v>7.4999999999999858E-3</v>
      </c>
      <c r="G29" s="3">
        <f t="shared" si="3"/>
        <v>6.3639610306789234E-3</v>
      </c>
      <c r="H29" s="3">
        <f t="shared" si="0"/>
        <v>1.4999999999999944E-3</v>
      </c>
      <c r="I29" s="3">
        <f t="shared" si="4"/>
        <v>2.1213203435596346E-3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-5.0000000000000044E-4</v>
      </c>
      <c r="C30" s="3">
        <f t="shared" si="2"/>
        <v>3.5355339059327407E-3</v>
      </c>
      <c r="D30" s="3">
        <f t="shared" si="0"/>
        <v>4.0000000000000036E-3</v>
      </c>
      <c r="E30" s="3">
        <f t="shared" si="2"/>
        <v>1.4142135623730963E-3</v>
      </c>
      <c r="F30" s="3">
        <f t="shared" si="0"/>
        <v>1.0000000000000002E-2</v>
      </c>
      <c r="G30" s="3">
        <f t="shared" si="3"/>
        <v>1.4142135623731061E-3</v>
      </c>
      <c r="H30" s="3">
        <f t="shared" si="0"/>
        <v>2.4999999999999953E-3</v>
      </c>
      <c r="I30" s="3">
        <f t="shared" si="4"/>
        <v>1.2020815280171309E-2</v>
      </c>
      <c r="J30" s="3">
        <f>AVERAGE(J19:J20)</f>
        <v>-4.9999999999999697E-4</v>
      </c>
      <c r="K30" s="3">
        <f>STDEV(J19:J20)</f>
        <v>7.0710678118654328E-4</v>
      </c>
      <c r="L30" s="3">
        <f>AVERAGE(K19:K20)</f>
        <v>0</v>
      </c>
      <c r="M30" s="3">
        <f>STDEV(K19:K20)</f>
        <v>0</v>
      </c>
    </row>
    <row r="31" spans="1:13" x14ac:dyDescent="0.25">
      <c r="A31" t="s">
        <v>18</v>
      </c>
      <c r="B31" s="3">
        <f t="shared" si="1"/>
        <v>3.4999999999999962E-3</v>
      </c>
      <c r="C31" s="3">
        <f t="shared" si="2"/>
        <v>2.1213203435596346E-3</v>
      </c>
      <c r="D31" s="3">
        <f t="shared" si="0"/>
        <v>0</v>
      </c>
      <c r="E31" s="3">
        <f t="shared" si="2"/>
        <v>2.8284271247461927E-3</v>
      </c>
      <c r="F31" s="3">
        <f t="shared" si="0"/>
        <v>4.9999999999999975E-3</v>
      </c>
      <c r="G31" s="3">
        <f t="shared" si="3"/>
        <v>4.2426406871192788E-3</v>
      </c>
      <c r="H31" s="3">
        <f t="shared" si="0"/>
        <v>1.0000000000000044E-3</v>
      </c>
      <c r="I31" s="3">
        <f t="shared" si="4"/>
        <v>4.242640687119284E-3</v>
      </c>
      <c r="L31" s="3"/>
      <c r="M31" s="3"/>
    </row>
    <row r="32" spans="1:13" x14ac:dyDescent="0.25">
      <c r="A32" t="s">
        <v>19</v>
      </c>
      <c r="B32" s="3">
        <f t="shared" si="1"/>
        <v>5.0000000000000044E-3</v>
      </c>
      <c r="C32" s="3">
        <f t="shared" si="2"/>
        <v>2.8284271247461922E-3</v>
      </c>
      <c r="D32" s="3">
        <f t="shared" si="0"/>
        <v>2.9999999999999957E-3</v>
      </c>
      <c r="E32" s="3">
        <f t="shared" si="2"/>
        <v>1.4142135623730866E-3</v>
      </c>
      <c r="F32" s="3">
        <f t="shared" si="0"/>
        <v>5.9999999999999915E-3</v>
      </c>
      <c r="G32" s="3">
        <f t="shared" si="3"/>
        <v>2.8284271247461909E-3</v>
      </c>
      <c r="H32" s="3">
        <f t="shared" si="0"/>
        <v>9.9999999999999395E-4</v>
      </c>
      <c r="I32" s="3">
        <f t="shared" si="4"/>
        <v>9.8130778667735948E-18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6.0000000000000053E-3</v>
      </c>
      <c r="C33" s="3">
        <f t="shared" si="2"/>
        <v>1.6970562748477157E-2</v>
      </c>
      <c r="D33" s="3">
        <f t="shared" si="0"/>
        <v>0</v>
      </c>
      <c r="E33" s="3">
        <f t="shared" si="2"/>
        <v>1.4142135623730963E-3</v>
      </c>
      <c r="F33" s="3">
        <f t="shared" si="0"/>
        <v>1.3999999999999999E-2</v>
      </c>
      <c r="G33" s="3">
        <f t="shared" si="3"/>
        <v>1.1313708498984746E-2</v>
      </c>
      <c r="H33" s="3">
        <f t="shared" si="0"/>
        <v>2.0000000000000018E-3</v>
      </c>
      <c r="I33" s="3">
        <f t="shared" si="4"/>
        <v>1.4142135623730961E-3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0.10100000000000001</v>
      </c>
      <c r="C3">
        <v>8.8999999999999996E-2</v>
      </c>
      <c r="D3">
        <v>0.08</v>
      </c>
      <c r="E3">
        <v>0.08</v>
      </c>
      <c r="F3">
        <v>0.14699999999999999</v>
      </c>
      <c r="G3">
        <v>0.121</v>
      </c>
      <c r="H3">
        <v>8.4000000000000005E-2</v>
      </c>
      <c r="I3">
        <v>6.4000000000000001E-2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25">
      <c r="A4" t="s">
        <v>14</v>
      </c>
      <c r="B4">
        <v>0.129</v>
      </c>
      <c r="C4">
        <v>0.14199999999999999</v>
      </c>
      <c r="D4">
        <v>8.1000000000000003E-2</v>
      </c>
      <c r="E4">
        <v>8.6999999999999994E-2</v>
      </c>
      <c r="F4">
        <v>0.152</v>
      </c>
      <c r="G4">
        <v>0.13100000000000001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0.14299999999999999</v>
      </c>
      <c r="C5">
        <v>0.15</v>
      </c>
      <c r="D5">
        <v>8.4000000000000005E-2</v>
      </c>
      <c r="E5">
        <v>7.9000000000000001E-2</v>
      </c>
      <c r="F5">
        <v>0.105</v>
      </c>
      <c r="G5">
        <v>0.109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0.17699999999999999</v>
      </c>
      <c r="C6">
        <v>0.193</v>
      </c>
      <c r="D6">
        <v>8.3000000000000004E-2</v>
      </c>
      <c r="E6">
        <v>9.0999999999999998E-2</v>
      </c>
      <c r="F6">
        <v>0.122</v>
      </c>
      <c r="G6">
        <v>0.21199999999999999</v>
      </c>
      <c r="H6">
        <v>7.2999999999999995E-2</v>
      </c>
      <c r="I6">
        <v>0.11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25">
      <c r="A7" t="s">
        <v>17</v>
      </c>
      <c r="B7">
        <v>0.13500000000000001</v>
      </c>
      <c r="C7">
        <v>0.151</v>
      </c>
      <c r="D7">
        <v>8.3000000000000004E-2</v>
      </c>
      <c r="E7">
        <v>9.4E-2</v>
      </c>
      <c r="F7">
        <v>0.122</v>
      </c>
      <c r="G7">
        <v>0.115</v>
      </c>
      <c r="H7">
        <v>0.106</v>
      </c>
      <c r="I7">
        <v>7.8E-2</v>
      </c>
      <c r="J7">
        <v>6.9000000000000006E-2</v>
      </c>
      <c r="K7">
        <v>7.0000000000000007E-2</v>
      </c>
      <c r="L7">
        <v>0.65900000000000003</v>
      </c>
      <c r="M7">
        <v>9.6000000000000002E-2</v>
      </c>
    </row>
    <row r="8" spans="1:13" x14ac:dyDescent="0.25">
      <c r="A8" t="s">
        <v>18</v>
      </c>
      <c r="B8">
        <v>0.121</v>
      </c>
      <c r="C8">
        <v>9.4E-2</v>
      </c>
      <c r="D8">
        <v>7.5999999999999998E-2</v>
      </c>
      <c r="E8">
        <v>7.8E-2</v>
      </c>
      <c r="F8">
        <v>0.10199999999999999</v>
      </c>
      <c r="G8">
        <v>8.2000000000000003E-2</v>
      </c>
      <c r="H8">
        <v>8.1000000000000003E-2</v>
      </c>
      <c r="I8">
        <v>5.6000000000000001E-2</v>
      </c>
      <c r="J8">
        <v>4.9000000000000002E-2</v>
      </c>
      <c r="K8">
        <v>6.2E-2</v>
      </c>
      <c r="L8">
        <v>0.37</v>
      </c>
      <c r="M8">
        <v>9.7000000000000003E-2</v>
      </c>
    </row>
    <row r="9" spans="1:13" x14ac:dyDescent="0.25">
      <c r="A9" t="s">
        <v>19</v>
      </c>
      <c r="B9">
        <v>0.154</v>
      </c>
      <c r="C9">
        <v>0.16900000000000001</v>
      </c>
      <c r="D9">
        <v>0.105</v>
      </c>
      <c r="E9">
        <v>0.108</v>
      </c>
      <c r="F9">
        <v>0.121</v>
      </c>
      <c r="G9">
        <v>0.106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0.20699999999999999</v>
      </c>
      <c r="C10">
        <v>0.22500000000000001</v>
      </c>
      <c r="D10">
        <v>0.104</v>
      </c>
      <c r="E10">
        <v>0.114</v>
      </c>
      <c r="F10">
        <v>0.251</v>
      </c>
      <c r="G10">
        <v>0.16500000000000001</v>
      </c>
      <c r="H10">
        <v>9.9000000000000005E-2</v>
      </c>
      <c r="I10">
        <v>9.4E-2</v>
      </c>
      <c r="J10">
        <v>9.6000000000000002E-2</v>
      </c>
      <c r="K10">
        <v>0.125</v>
      </c>
      <c r="L10">
        <v>0.125</v>
      </c>
      <c r="M10">
        <v>9.2999999999999999E-2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3.0000000000000027E-3</v>
      </c>
      <c r="C15" s="3">
        <f xml:space="preserve"> C3 - '+0 seg'!$C$3</f>
        <v>3.9999999999999897E-3</v>
      </c>
      <c r="D15" s="3">
        <f xml:space="preserve"> D3 - '+0 seg'!$D$3</f>
        <v>7.0000000000000062E-3</v>
      </c>
      <c r="E15" s="3">
        <f xml:space="preserve"> E3 - '+0 seg'!$E$3</f>
        <v>-6.9999999999999923E-3</v>
      </c>
      <c r="F15" s="3">
        <f xml:space="preserve"> F3 - '+0 seg'!$F$3</f>
        <v>0</v>
      </c>
      <c r="G15" s="3">
        <f xml:space="preserve"> G3 - '+0 seg'!$G$3</f>
        <v>5.9999999999999915E-3</v>
      </c>
      <c r="H15" s="3">
        <f xml:space="preserve"> H3 - '+0 seg'!$H$3</f>
        <v>1.0000000000000009E-3</v>
      </c>
      <c r="I15" s="3">
        <f xml:space="preserve"> I3 - '+0 seg'!$I$3</f>
        <v>3.0000000000000027E-3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</row>
    <row r="16" spans="1:13" x14ac:dyDescent="0.25">
      <c r="A16" t="s">
        <v>14</v>
      </c>
      <c r="B16" s="3">
        <f xml:space="preserve"> B4 - '+0 seg'!$B$4</f>
        <v>1.0000000000000009E-3</v>
      </c>
      <c r="C16" s="3">
        <f xml:space="preserve"> C4 - '+0 seg'!$C$4</f>
        <v>1.999999999999974E-3</v>
      </c>
      <c r="D16" s="3">
        <f xml:space="preserve"> D4 - '+0 seg'!$D$4</f>
        <v>5.0000000000000044E-3</v>
      </c>
      <c r="E16" s="3">
        <f xml:space="preserve"> E4 - '+0 seg'!$E$4</f>
        <v>2.9999999999999888E-3</v>
      </c>
      <c r="F16" s="3">
        <f xml:space="preserve"> F4 - '+0 seg'!$F$4</f>
        <v>6.0000000000000053E-3</v>
      </c>
      <c r="G16" s="3">
        <f xml:space="preserve"> G4 - '+0 seg'!$G$4</f>
        <v>4.0000000000000036E-3</v>
      </c>
      <c r="H16" s="3">
        <f xml:space="preserve"> H4 - '+0 seg'!$H$4</f>
        <v>6.0000000000000053E-3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2.0000000000000018E-3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2.0000000000000018E-3</v>
      </c>
      <c r="C17" s="3">
        <f xml:space="preserve"> C5 - '+0 seg'!$C$5</f>
        <v>8.0000000000000071E-3</v>
      </c>
      <c r="D17" s="3">
        <f xml:space="preserve"> D5 - '+0 seg'!$D$5</f>
        <v>4.0000000000000036E-3</v>
      </c>
      <c r="E17" s="3">
        <f xml:space="preserve"> E5 - '+0 seg'!$E$5</f>
        <v>-1.0000000000000009E-3</v>
      </c>
      <c r="F17" s="3">
        <f xml:space="preserve"> F5 - '+0 seg'!$F$5</f>
        <v>3.9999999999999897E-3</v>
      </c>
      <c r="G17" s="3">
        <f xml:space="preserve"> G5 - '+0 seg'!$G$5</f>
        <v>-7.0000000000000062E-3</v>
      </c>
      <c r="H17" s="3">
        <f xml:space="preserve"> H5 - '+0 seg'!$H$5</f>
        <v>5.0000000000000044E-3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5.9999999999999776E-3</v>
      </c>
      <c r="C18" s="3">
        <f xml:space="preserve"> C6 - '+0 seg'!$C$6</f>
        <v>9.000000000000008E-3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4.9999999999999906E-3</v>
      </c>
      <c r="G18" s="3">
        <f xml:space="preserve"> G6 - '+0 seg'!$G$6</f>
        <v>1.2999999999999984E-2</v>
      </c>
      <c r="H18" s="3">
        <f xml:space="preserve"> H6 - '+0 seg'!$H$6</f>
        <v>4.9999999999999906E-3</v>
      </c>
      <c r="I18" s="3">
        <f xml:space="preserve"> I6 - '+0 seg'!$I$6</f>
        <v>1.0000000000000009E-3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1.0000000000000009E-3</v>
      </c>
    </row>
    <row r="19" spans="1:13" x14ac:dyDescent="0.25">
      <c r="A19" t="s">
        <v>17</v>
      </c>
      <c r="B19" s="3">
        <f xml:space="preserve"> B7 - '+0 seg'!$B$7</f>
        <v>1.0000000000000009E-3</v>
      </c>
      <c r="C19" s="3">
        <f xml:space="preserve"> C7 - '+0 seg'!$C$7</f>
        <v>0</v>
      </c>
      <c r="D19" s="3">
        <f xml:space="preserve"> D7 - '+0 seg'!$D$7</f>
        <v>3.0000000000000027E-3</v>
      </c>
      <c r="E19" s="3">
        <f xml:space="preserve"> E7 - '+0 seg'!$E$7</f>
        <v>6.0000000000000053E-3</v>
      </c>
      <c r="F19" s="3">
        <f xml:space="preserve"> F7 - '+0 seg'!$F$7</f>
        <v>9.999999999999995E-3</v>
      </c>
      <c r="G19" s="3">
        <f xml:space="preserve"> G7 - '+0 seg'!$G$7</f>
        <v>1.2000000000000011E-2</v>
      </c>
      <c r="H19" s="3">
        <f xml:space="preserve"> H7 - '+0 seg'!$H$7</f>
        <v>1.1999999999999997E-2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1.0000000000000009E-3</v>
      </c>
      <c r="L19" s="3">
        <f xml:space="preserve"> L7 - '+0 seg'!$L$7</f>
        <v>1.6000000000000014E-2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3.0000000000000027E-3</v>
      </c>
      <c r="D20" s="3">
        <f xml:space="preserve"> D8 - '+0 seg'!$D$8</f>
        <v>-3.0000000000000027E-3</v>
      </c>
      <c r="E20" s="3">
        <f xml:space="preserve"> E8 - '+0 seg'!$E$8</f>
        <v>3.0000000000000027E-3</v>
      </c>
      <c r="F20" s="3">
        <f xml:space="preserve"> F8 - '+0 seg'!$F$8</f>
        <v>5.9999999999999915E-3</v>
      </c>
      <c r="G20" s="3">
        <f xml:space="preserve"> G8 - '+0 seg'!$G$8</f>
        <v>3.0000000000000027E-3</v>
      </c>
      <c r="H20" s="3">
        <f xml:space="preserve"> H8 - '+0 seg'!$H$8</f>
        <v>5.0000000000000044E-3</v>
      </c>
      <c r="I20" s="3">
        <f xml:space="preserve"> I8 - '+0 seg'!$I$8</f>
        <v>-2.9999999999999957E-3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1.0000000000000009E-3</v>
      </c>
      <c r="M20" s="3">
        <f xml:space="preserve"> M8 - '+0 seg'!$M$8</f>
        <v>0</v>
      </c>
    </row>
    <row r="21" spans="1:13" x14ac:dyDescent="0.25">
      <c r="A21" t="s">
        <v>19</v>
      </c>
      <c r="B21" s="3">
        <f xml:space="preserve"> B9 - '+0 seg'!$B$9</f>
        <v>3.0000000000000027E-3</v>
      </c>
      <c r="C21" s="3">
        <f xml:space="preserve"> C9 - '+0 seg'!$C$9</f>
        <v>7.0000000000000062E-3</v>
      </c>
      <c r="D21" s="3">
        <f xml:space="preserve"> D9 - '+0 seg'!$D$9</f>
        <v>4.9999999999999906E-3</v>
      </c>
      <c r="E21" s="3">
        <f xml:space="preserve"> E9 - '+0 seg'!$E$9</f>
        <v>3.0000000000000027E-3</v>
      </c>
      <c r="F21" s="3">
        <f xml:space="preserve"> F9 - '+0 seg'!$F$9</f>
        <v>4.9999999999999906E-3</v>
      </c>
      <c r="G21" s="3">
        <f xml:space="preserve"> G9 - '+0 seg'!$G$9</f>
        <v>7.9999999999999932E-3</v>
      </c>
      <c r="H21" s="3">
        <f xml:space="preserve"> H9 - '+0 seg'!$H$9</f>
        <v>0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-1.2000000000000011E-2</v>
      </c>
      <c r="C22" s="3">
        <f xml:space="preserve"> C10 - '+0 seg'!$C$10</f>
        <v>2.0000000000000018E-2</v>
      </c>
      <c r="D22" s="3">
        <f xml:space="preserve"> D10 - '+0 seg'!$D$10</f>
        <v>-1.0000000000000009E-3</v>
      </c>
      <c r="E22" s="3">
        <f xml:space="preserve"> E10 - '+0 seg'!$E$10</f>
        <v>2.0000000000000018E-3</v>
      </c>
      <c r="F22" s="3">
        <f xml:space="preserve"> F10 - '+0 seg'!$F$10</f>
        <v>2.4999999999999994E-2</v>
      </c>
      <c r="G22" s="3">
        <f xml:space="preserve"> G10 - '+0 seg'!$G$10</f>
        <v>6.0000000000000053E-3</v>
      </c>
      <c r="H22" s="3">
        <f xml:space="preserve"> H10 - '+0 seg'!$H$10</f>
        <v>2.0000000000000018E-3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-3.0000000000000027E-3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3.4999999999999962E-3</v>
      </c>
      <c r="C26" s="3">
        <f>STDEV(B15:C15)</f>
        <v>7.0710678118653841E-4</v>
      </c>
      <c r="D26" s="3">
        <f t="shared" ref="D26:H33" si="0">AVERAGE(D15:E15)</f>
        <v>6.9388939039072284E-18</v>
      </c>
      <c r="E26" s="3">
        <f>STDEV(D15:E15)</f>
        <v>9.8994949366116632E-3</v>
      </c>
      <c r="F26" s="3">
        <f t="shared" si="0"/>
        <v>2.9999999999999957E-3</v>
      </c>
      <c r="G26" s="3">
        <f>STDEV(F15:G15)</f>
        <v>4.2426406871192788E-3</v>
      </c>
      <c r="H26" s="3">
        <f t="shared" si="0"/>
        <v>2.0000000000000018E-3</v>
      </c>
      <c r="I26" s="3">
        <f>STDEV(H15:I15)</f>
        <v>1.4142135623730961E-3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-9.9999999999999742E-4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1.4999999999999875E-3</v>
      </c>
      <c r="C27" s="3">
        <f t="shared" ref="C27:E33" si="2">STDEV(B16:C16)</f>
        <v>7.0710678118652854E-4</v>
      </c>
      <c r="D27" s="3">
        <f t="shared" si="0"/>
        <v>3.9999999999999966E-3</v>
      </c>
      <c r="E27" s="3">
        <f t="shared" si="2"/>
        <v>1.4142135623731061E-3</v>
      </c>
      <c r="F27" s="3">
        <f t="shared" si="0"/>
        <v>5.0000000000000044E-3</v>
      </c>
      <c r="G27" s="3">
        <f t="shared" ref="G27:G33" si="3">STDEV(F16:G16)</f>
        <v>1.4142135623730963E-3</v>
      </c>
      <c r="H27" s="3">
        <f t="shared" si="0"/>
        <v>4.500000000000004E-3</v>
      </c>
      <c r="I27" s="3">
        <f t="shared" ref="I27:I33" si="4">STDEV(H16:I16)</f>
        <v>2.1213203435596446E-3</v>
      </c>
      <c r="L27" s="3"/>
      <c r="M27" s="3"/>
    </row>
    <row r="28" spans="1:13" x14ac:dyDescent="0.25">
      <c r="A28" t="s">
        <v>15</v>
      </c>
      <c r="B28" s="3">
        <f t="shared" si="1"/>
        <v>5.0000000000000044E-3</v>
      </c>
      <c r="C28" s="3">
        <f t="shared" si="2"/>
        <v>4.2426406871192892E-3</v>
      </c>
      <c r="D28" s="3">
        <f t="shared" si="0"/>
        <v>1.5000000000000013E-3</v>
      </c>
      <c r="E28" s="3">
        <f t="shared" si="2"/>
        <v>3.5355339059327407E-3</v>
      </c>
      <c r="F28" s="3">
        <f t="shared" si="0"/>
        <v>-1.5000000000000083E-3</v>
      </c>
      <c r="G28" s="3">
        <f t="shared" si="3"/>
        <v>7.7781745930520204E-3</v>
      </c>
      <c r="H28" s="3">
        <f t="shared" si="0"/>
        <v>-1.0000000000000009E-3</v>
      </c>
      <c r="I28" s="3">
        <f t="shared" si="4"/>
        <v>8.4852813742385784E-3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7.4999999999999928E-3</v>
      </c>
      <c r="C29" s="3">
        <f t="shared" si="2"/>
        <v>2.1213203435596641E-3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8.9999999999999872E-3</v>
      </c>
      <c r="G29" s="3">
        <f t="shared" si="3"/>
        <v>5.6568542494923749E-3</v>
      </c>
      <c r="H29" s="3">
        <f t="shared" si="0"/>
        <v>2.9999999999999957E-3</v>
      </c>
      <c r="I29" s="3">
        <f t="shared" si="4"/>
        <v>2.8284271247461827E-3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5.0000000000000044E-4</v>
      </c>
      <c r="C30" s="3">
        <f t="shared" si="2"/>
        <v>7.0710678118654816E-4</v>
      </c>
      <c r="D30" s="3">
        <f t="shared" si="0"/>
        <v>4.500000000000004E-3</v>
      </c>
      <c r="E30" s="3">
        <f t="shared" si="2"/>
        <v>2.1213203435596446E-3</v>
      </c>
      <c r="F30" s="3">
        <f t="shared" si="0"/>
        <v>1.1000000000000003E-2</v>
      </c>
      <c r="G30" s="3">
        <f t="shared" si="3"/>
        <v>1.4142135623731061E-3</v>
      </c>
      <c r="H30" s="3">
        <f t="shared" si="0"/>
        <v>2.9999999999999957E-3</v>
      </c>
      <c r="I30" s="3">
        <f t="shared" si="4"/>
        <v>1.2727922061357857E-2</v>
      </c>
      <c r="J30" s="3">
        <f>AVERAGE(J19:J20)</f>
        <v>-9.9999999999999742E-4</v>
      </c>
      <c r="K30" s="3">
        <f>STDEV(J19:J20)</f>
        <v>1.4142135623730913E-3</v>
      </c>
      <c r="L30" s="3">
        <f>AVERAGE(K19:K20)</f>
        <v>5.0000000000000044E-4</v>
      </c>
      <c r="M30" s="3">
        <f>STDEV(K19:K20)</f>
        <v>7.0710678118654816E-4</v>
      </c>
    </row>
    <row r="31" spans="1:13" x14ac:dyDescent="0.25">
      <c r="A31" t="s">
        <v>18</v>
      </c>
      <c r="B31" s="3">
        <f t="shared" si="1"/>
        <v>3.9999999999999966E-3</v>
      </c>
      <c r="C31" s="3">
        <f t="shared" si="2"/>
        <v>1.4142135623730866E-3</v>
      </c>
      <c r="D31" s="3">
        <f t="shared" si="0"/>
        <v>0</v>
      </c>
      <c r="E31" s="3">
        <f t="shared" si="2"/>
        <v>4.2426406871192892E-3</v>
      </c>
      <c r="F31" s="3">
        <f t="shared" si="0"/>
        <v>4.4999999999999971E-3</v>
      </c>
      <c r="G31" s="3">
        <f t="shared" si="3"/>
        <v>2.1213203435596346E-3</v>
      </c>
      <c r="H31" s="3">
        <f t="shared" si="0"/>
        <v>1.0000000000000044E-3</v>
      </c>
      <c r="I31" s="3">
        <f t="shared" si="4"/>
        <v>5.656854249492381E-3</v>
      </c>
      <c r="L31" s="3"/>
      <c r="M31" s="3"/>
    </row>
    <row r="32" spans="1:13" x14ac:dyDescent="0.25">
      <c r="A32" t="s">
        <v>19</v>
      </c>
      <c r="B32" s="3">
        <f t="shared" si="1"/>
        <v>5.0000000000000044E-3</v>
      </c>
      <c r="C32" s="3">
        <f t="shared" si="2"/>
        <v>2.8284271247461922E-3</v>
      </c>
      <c r="D32" s="3">
        <f t="shared" si="0"/>
        <v>3.9999999999999966E-3</v>
      </c>
      <c r="E32" s="3">
        <f t="shared" si="2"/>
        <v>1.4142135623730866E-3</v>
      </c>
      <c r="F32" s="3">
        <f t="shared" si="0"/>
        <v>6.4999999999999919E-3</v>
      </c>
      <c r="G32" s="3">
        <f t="shared" si="3"/>
        <v>2.1213203435596446E-3</v>
      </c>
      <c r="H32" s="3">
        <f t="shared" si="0"/>
        <v>5.0000000000000044E-4</v>
      </c>
      <c r="I32" s="3">
        <f t="shared" si="4"/>
        <v>7.0710678118654816E-4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4.0000000000000036E-3</v>
      </c>
      <c r="C33" s="3">
        <f t="shared" si="2"/>
        <v>2.2627416997969541E-2</v>
      </c>
      <c r="D33" s="3">
        <f t="shared" si="0"/>
        <v>5.0000000000000044E-4</v>
      </c>
      <c r="E33" s="3">
        <f t="shared" si="2"/>
        <v>2.1213203435596446E-3</v>
      </c>
      <c r="F33" s="3">
        <f t="shared" si="0"/>
        <v>1.55E-2</v>
      </c>
      <c r="G33" s="3">
        <f t="shared" si="3"/>
        <v>1.3435028842544394E-2</v>
      </c>
      <c r="H33" s="3">
        <f t="shared" si="0"/>
        <v>2.0000000000000018E-3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</v>
      </c>
      <c r="C3">
        <v>0.09</v>
      </c>
      <c r="D3">
        <v>0.08</v>
      </c>
      <c r="E3">
        <v>9.6000000000000002E-2</v>
      </c>
      <c r="F3">
        <v>0.14799999999999999</v>
      </c>
      <c r="G3">
        <v>0.122</v>
      </c>
      <c r="H3">
        <v>8.4000000000000005E-2</v>
      </c>
      <c r="I3">
        <v>6.4000000000000001E-2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25">
      <c r="A4" t="s">
        <v>14</v>
      </c>
      <c r="B4">
        <v>0.129</v>
      </c>
      <c r="C4">
        <v>0.14299999999999999</v>
      </c>
      <c r="D4">
        <v>0.08</v>
      </c>
      <c r="E4">
        <v>8.8999999999999996E-2</v>
      </c>
      <c r="F4">
        <v>0.151</v>
      </c>
      <c r="G4">
        <v>0.13200000000000001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0.14299999999999999</v>
      </c>
      <c r="C5">
        <v>0.151</v>
      </c>
      <c r="D5">
        <v>8.4000000000000005E-2</v>
      </c>
      <c r="E5">
        <v>7.9000000000000001E-2</v>
      </c>
      <c r="F5">
        <v>0.105</v>
      </c>
      <c r="G5">
        <v>0.11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0.17699999999999999</v>
      </c>
      <c r="C6">
        <v>0.19</v>
      </c>
      <c r="D6">
        <v>8.3000000000000004E-2</v>
      </c>
      <c r="E6">
        <v>9.0999999999999998E-2</v>
      </c>
      <c r="F6">
        <v>0.122</v>
      </c>
      <c r="G6">
        <v>0.21299999999999999</v>
      </c>
      <c r="H6">
        <v>7.1999999999999995E-2</v>
      </c>
      <c r="I6">
        <v>0.11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25">
      <c r="A7" t="s">
        <v>17</v>
      </c>
      <c r="B7">
        <v>0.13500000000000001</v>
      </c>
      <c r="C7">
        <v>0.154</v>
      </c>
      <c r="D7">
        <v>8.3000000000000004E-2</v>
      </c>
      <c r="E7">
        <v>9.4E-2</v>
      </c>
      <c r="F7">
        <v>0.124</v>
      </c>
      <c r="G7">
        <v>0.115</v>
      </c>
      <c r="H7">
        <v>0.107</v>
      </c>
      <c r="I7">
        <v>7.8E-2</v>
      </c>
      <c r="J7">
        <v>6.9000000000000006E-2</v>
      </c>
      <c r="K7">
        <v>7.0000000000000007E-2</v>
      </c>
      <c r="L7">
        <v>0.64400000000000002</v>
      </c>
      <c r="M7">
        <v>9.6000000000000002E-2</v>
      </c>
    </row>
    <row r="8" spans="1:13" x14ac:dyDescent="0.25">
      <c r="A8" t="s">
        <v>18</v>
      </c>
      <c r="B8">
        <v>0.121</v>
      </c>
      <c r="C8">
        <v>9.5000000000000001E-2</v>
      </c>
      <c r="D8">
        <v>7.5999999999999998E-2</v>
      </c>
      <c r="E8">
        <v>7.8E-2</v>
      </c>
      <c r="F8">
        <v>0.104</v>
      </c>
      <c r="G8">
        <v>8.2000000000000003E-2</v>
      </c>
      <c r="H8">
        <v>0.08</v>
      </c>
      <c r="I8">
        <v>5.6000000000000001E-2</v>
      </c>
      <c r="J8">
        <v>0.05</v>
      </c>
      <c r="K8">
        <v>6.2E-2</v>
      </c>
      <c r="L8">
        <v>0.371</v>
      </c>
      <c r="M8">
        <v>9.7000000000000003E-2</v>
      </c>
    </row>
    <row r="9" spans="1:13" x14ac:dyDescent="0.25">
      <c r="A9" t="s">
        <v>19</v>
      </c>
      <c r="B9">
        <v>0.154</v>
      </c>
      <c r="C9">
        <v>0.17</v>
      </c>
      <c r="D9">
        <v>0.105</v>
      </c>
      <c r="E9">
        <v>0.108</v>
      </c>
      <c r="F9">
        <v>0.121</v>
      </c>
      <c r="G9">
        <v>0.107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0.214</v>
      </c>
      <c r="C10">
        <v>0.22600000000000001</v>
      </c>
      <c r="D10">
        <v>0.10299999999999999</v>
      </c>
      <c r="E10">
        <v>0.115</v>
      </c>
      <c r="F10">
        <v>0.252</v>
      </c>
      <c r="G10">
        <v>0.16400000000000001</v>
      </c>
      <c r="H10">
        <v>0.1</v>
      </c>
      <c r="I10">
        <v>9.2999999999999999E-2</v>
      </c>
      <c r="J10">
        <v>9.6000000000000002E-2</v>
      </c>
      <c r="K10">
        <v>0.125</v>
      </c>
      <c r="L10">
        <v>0.125</v>
      </c>
      <c r="M10">
        <v>9.2999999999999999E-2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2.0000000000000018E-3</v>
      </c>
      <c r="C15" s="3">
        <f xml:space="preserve"> C3 - '+0 seg'!$C$3</f>
        <v>4.9999999999999906E-3</v>
      </c>
      <c r="D15" s="3">
        <f xml:space="preserve"> D3 - '+0 seg'!$D$3</f>
        <v>7.0000000000000062E-3</v>
      </c>
      <c r="E15" s="3">
        <f xml:space="preserve"> E3 - '+0 seg'!$E$3</f>
        <v>9.000000000000008E-3</v>
      </c>
      <c r="F15" s="3">
        <f xml:space="preserve"> F3 - '+0 seg'!$F$3</f>
        <v>1.0000000000000009E-3</v>
      </c>
      <c r="G15" s="3">
        <f xml:space="preserve"> G3 - '+0 seg'!$G$3</f>
        <v>6.9999999999999923E-3</v>
      </c>
      <c r="H15" s="3">
        <f xml:space="preserve"> H3 - '+0 seg'!$H$3</f>
        <v>1.0000000000000009E-3</v>
      </c>
      <c r="I15" s="3">
        <f xml:space="preserve"> I3 - '+0 seg'!$I$3</f>
        <v>3.0000000000000027E-3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0</v>
      </c>
    </row>
    <row r="16" spans="1:13" x14ac:dyDescent="0.25">
      <c r="A16" t="s">
        <v>14</v>
      </c>
      <c r="B16" s="3">
        <f xml:space="preserve"> B4 - '+0 seg'!$B$4</f>
        <v>1.0000000000000009E-3</v>
      </c>
      <c r="C16" s="3">
        <f xml:space="preserve"> C4 - '+0 seg'!$C$4</f>
        <v>2.9999999999999749E-3</v>
      </c>
      <c r="D16" s="3">
        <f xml:space="preserve"> D4 - '+0 seg'!$D$4</f>
        <v>4.0000000000000036E-3</v>
      </c>
      <c r="E16" s="3">
        <f xml:space="preserve"> E4 - '+0 seg'!$E$4</f>
        <v>4.9999999999999906E-3</v>
      </c>
      <c r="F16" s="3">
        <f xml:space="preserve"> F4 - '+0 seg'!$F$4</f>
        <v>5.0000000000000044E-3</v>
      </c>
      <c r="G16" s="3">
        <f xml:space="preserve"> G4 - '+0 seg'!$G$4</f>
        <v>5.0000000000000044E-3</v>
      </c>
      <c r="H16" s="3">
        <f xml:space="preserve"> H4 - '+0 seg'!$H$4</f>
        <v>6.0000000000000053E-3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2.0000000000000018E-3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2.0000000000000018E-3</v>
      </c>
      <c r="C17" s="3">
        <f xml:space="preserve"> C5 - '+0 seg'!$C$5</f>
        <v>9.000000000000008E-3</v>
      </c>
      <c r="D17" s="3">
        <f xml:space="preserve"> D5 - '+0 seg'!$D$5</f>
        <v>4.0000000000000036E-3</v>
      </c>
      <c r="E17" s="3">
        <f xml:space="preserve"> E5 - '+0 seg'!$E$5</f>
        <v>-1.0000000000000009E-3</v>
      </c>
      <c r="F17" s="3">
        <f xml:space="preserve"> F5 - '+0 seg'!$F$5</f>
        <v>3.9999999999999897E-3</v>
      </c>
      <c r="G17" s="3">
        <f xml:space="preserve"> G5 - '+0 seg'!$G$5</f>
        <v>-6.0000000000000053E-3</v>
      </c>
      <c r="H17" s="3">
        <f xml:space="preserve"> H5 - '+0 seg'!$H$5</f>
        <v>5.0000000000000044E-3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5.9999999999999776E-3</v>
      </c>
      <c r="C18" s="3">
        <f xml:space="preserve"> C6 - '+0 seg'!$C$6</f>
        <v>6.0000000000000053E-3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4.9999999999999906E-3</v>
      </c>
      <c r="G18" s="3">
        <f xml:space="preserve"> G6 - '+0 seg'!$G$6</f>
        <v>1.3999999999999985E-2</v>
      </c>
      <c r="H18" s="3">
        <f xml:space="preserve"> H6 - '+0 seg'!$H$6</f>
        <v>3.9999999999999897E-3</v>
      </c>
      <c r="I18" s="3">
        <f xml:space="preserve"> I6 - '+0 seg'!$I$6</f>
        <v>1.0000000000000009E-3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1.0000000000000009E-3</v>
      </c>
    </row>
    <row r="19" spans="1:13" x14ac:dyDescent="0.25">
      <c r="A19" t="s">
        <v>17</v>
      </c>
      <c r="B19" s="3">
        <f xml:space="preserve"> B7 - '+0 seg'!$B$7</f>
        <v>1.0000000000000009E-3</v>
      </c>
      <c r="C19" s="3">
        <f xml:space="preserve"> C7 - '+0 seg'!$C$7</f>
        <v>3.0000000000000027E-3</v>
      </c>
      <c r="D19" s="3">
        <f xml:space="preserve"> D7 - '+0 seg'!$D$7</f>
        <v>3.0000000000000027E-3</v>
      </c>
      <c r="E19" s="3">
        <f xml:space="preserve"> E7 - '+0 seg'!$E$7</f>
        <v>6.0000000000000053E-3</v>
      </c>
      <c r="F19" s="3">
        <f xml:space="preserve"> F7 - '+0 seg'!$F$7</f>
        <v>1.1999999999999997E-2</v>
      </c>
      <c r="G19" s="3">
        <f xml:space="preserve"> G7 - '+0 seg'!$G$7</f>
        <v>1.2000000000000011E-2</v>
      </c>
      <c r="H19" s="3">
        <f xml:space="preserve"> H7 - '+0 seg'!$H$7</f>
        <v>1.2999999999999998E-2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1.0000000000000009E-3</v>
      </c>
      <c r="L19" s="3">
        <f xml:space="preserve"> L7 - '+0 seg'!$L$7</f>
        <v>1.0000000000000009E-3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4.0000000000000036E-3</v>
      </c>
      <c r="D20" s="3">
        <f xml:space="preserve"> D8 - '+0 seg'!$D$8</f>
        <v>-3.0000000000000027E-3</v>
      </c>
      <c r="E20" s="3">
        <f xml:space="preserve"> E8 - '+0 seg'!$E$8</f>
        <v>3.0000000000000027E-3</v>
      </c>
      <c r="F20" s="3">
        <f xml:space="preserve"> F8 - '+0 seg'!$F$8</f>
        <v>7.9999999999999932E-3</v>
      </c>
      <c r="G20" s="3">
        <f xml:space="preserve"> G8 - '+0 seg'!$G$8</f>
        <v>3.0000000000000027E-3</v>
      </c>
      <c r="H20" s="3">
        <f xml:space="preserve"> H8 - '+0 seg'!$H$8</f>
        <v>4.0000000000000036E-3</v>
      </c>
      <c r="I20" s="3">
        <f xml:space="preserve"> I8 - '+0 seg'!$I$8</f>
        <v>-2.9999999999999957E-3</v>
      </c>
      <c r="J20" s="3">
        <f xml:space="preserve"> J8 - '+0 seg'!$J$8</f>
        <v>-9.9999999999999395E-4</v>
      </c>
      <c r="K20" s="3">
        <f xml:space="preserve"> K8 - '+0 seg'!$K$8</f>
        <v>0</v>
      </c>
      <c r="L20" s="3">
        <f xml:space="preserve"> L8 - '+0 seg'!$L$8</f>
        <v>2.0000000000000018E-3</v>
      </c>
      <c r="M20" s="3">
        <f xml:space="preserve"> M8 - '+0 seg'!$M$8</f>
        <v>0</v>
      </c>
    </row>
    <row r="21" spans="1:13" x14ac:dyDescent="0.25">
      <c r="A21" t="s">
        <v>19</v>
      </c>
      <c r="B21" s="3">
        <f xml:space="preserve"> B9 - '+0 seg'!$B$9</f>
        <v>3.0000000000000027E-3</v>
      </c>
      <c r="C21" s="3">
        <f xml:space="preserve"> C9 - '+0 seg'!$C$9</f>
        <v>8.0000000000000071E-3</v>
      </c>
      <c r="D21" s="3">
        <f xml:space="preserve"> D9 - '+0 seg'!$D$9</f>
        <v>4.9999999999999906E-3</v>
      </c>
      <c r="E21" s="3">
        <f xml:space="preserve"> E9 - '+0 seg'!$E$9</f>
        <v>3.0000000000000027E-3</v>
      </c>
      <c r="F21" s="3">
        <f xml:space="preserve"> F9 - '+0 seg'!$F$9</f>
        <v>4.9999999999999906E-3</v>
      </c>
      <c r="G21" s="3">
        <f xml:space="preserve"> G9 - '+0 seg'!$G$9</f>
        <v>8.9999999999999941E-3</v>
      </c>
      <c r="H21" s="3">
        <f xml:space="preserve"> H9 - '+0 seg'!$H$9</f>
        <v>9.9999999999998701E-4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-5.0000000000000044E-3</v>
      </c>
      <c r="C22" s="3">
        <f xml:space="preserve"> C10 - '+0 seg'!$C$10</f>
        <v>2.1000000000000019E-2</v>
      </c>
      <c r="D22" s="3">
        <f xml:space="preserve"> D10 - '+0 seg'!$D$10</f>
        <v>-2.0000000000000018E-3</v>
      </c>
      <c r="E22" s="3">
        <f xml:space="preserve"> E10 - '+0 seg'!$E$10</f>
        <v>3.0000000000000027E-3</v>
      </c>
      <c r="F22" s="3">
        <f xml:space="preserve"> F10 - '+0 seg'!$F$10</f>
        <v>2.5999999999999995E-2</v>
      </c>
      <c r="G22" s="3">
        <f xml:space="preserve"> G10 - '+0 seg'!$G$10</f>
        <v>5.0000000000000044E-3</v>
      </c>
      <c r="H22" s="3">
        <f xml:space="preserve"> H10 - '+0 seg'!$H$10</f>
        <v>3.0000000000000027E-3</v>
      </c>
      <c r="I22" s="3">
        <f xml:space="preserve"> I10 - '+0 seg'!$I$10</f>
        <v>1.0000000000000009E-3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-3.0000000000000027E-3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3.4999999999999962E-3</v>
      </c>
      <c r="C26" s="3">
        <f>STDEV(B15:C15)</f>
        <v>2.1213203435596346E-3</v>
      </c>
      <c r="D26" s="3">
        <f t="shared" ref="D26:H33" si="0">AVERAGE(D15:E15)</f>
        <v>8.0000000000000071E-3</v>
      </c>
      <c r="E26" s="3">
        <f>STDEV(D15:E15)</f>
        <v>1.4142135623730963E-3</v>
      </c>
      <c r="F26" s="3">
        <f t="shared" si="0"/>
        <v>3.9999999999999966E-3</v>
      </c>
      <c r="G26" s="3">
        <f>STDEV(F15:G15)</f>
        <v>4.2426406871192788E-3</v>
      </c>
      <c r="H26" s="3">
        <f t="shared" si="0"/>
        <v>2.0000000000000018E-3</v>
      </c>
      <c r="I26" s="3">
        <f>STDEV(H15:I15)</f>
        <v>1.4142135623730961E-3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-9.9999999999999742E-4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1.9999999999999879E-3</v>
      </c>
      <c r="C27" s="3">
        <f t="shared" ref="C27:E33" si="2">STDEV(B16:C16)</f>
        <v>1.4142135623730768E-3</v>
      </c>
      <c r="D27" s="3">
        <f t="shared" si="0"/>
        <v>4.4999999999999971E-3</v>
      </c>
      <c r="E27" s="3">
        <f t="shared" si="2"/>
        <v>7.0710678118653841E-4</v>
      </c>
      <c r="F27" s="3">
        <f t="shared" si="0"/>
        <v>5.0000000000000044E-3</v>
      </c>
      <c r="G27" s="3">
        <f t="shared" ref="G27:G33" si="3">STDEV(F16:G16)</f>
        <v>0</v>
      </c>
      <c r="H27" s="3">
        <f t="shared" si="0"/>
        <v>4.500000000000004E-3</v>
      </c>
      <c r="I27" s="3">
        <f t="shared" ref="I27:I33" si="4">STDEV(H16:I16)</f>
        <v>2.1213203435596446E-3</v>
      </c>
      <c r="L27" s="3"/>
      <c r="M27" s="3"/>
    </row>
    <row r="28" spans="1:13" x14ac:dyDescent="0.25">
      <c r="A28" t="s">
        <v>15</v>
      </c>
      <c r="B28" s="3">
        <f t="shared" si="1"/>
        <v>5.5000000000000049E-3</v>
      </c>
      <c r="C28" s="3">
        <f t="shared" si="2"/>
        <v>4.949747468305836E-3</v>
      </c>
      <c r="D28" s="3">
        <f t="shared" si="0"/>
        <v>1.5000000000000013E-3</v>
      </c>
      <c r="E28" s="3">
        <f t="shared" si="2"/>
        <v>3.5355339059327407E-3</v>
      </c>
      <c r="F28" s="3">
        <f t="shared" si="0"/>
        <v>-1.0000000000000078E-3</v>
      </c>
      <c r="G28" s="3">
        <f t="shared" si="3"/>
        <v>7.0710678118654719E-3</v>
      </c>
      <c r="H28" s="3">
        <f t="shared" si="0"/>
        <v>-1.0000000000000009E-3</v>
      </c>
      <c r="I28" s="3">
        <f t="shared" si="4"/>
        <v>8.4852813742385784E-3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5.9999999999999915E-3</v>
      </c>
      <c r="C29" s="3">
        <f t="shared" si="2"/>
        <v>1.962615573354719E-17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9.4999999999999876E-3</v>
      </c>
      <c r="G29" s="3">
        <f t="shared" si="3"/>
        <v>6.3639610306789217E-3</v>
      </c>
      <c r="H29" s="3">
        <f t="shared" si="0"/>
        <v>2.4999999999999953E-3</v>
      </c>
      <c r="I29" s="3">
        <f t="shared" si="4"/>
        <v>2.1213203435596346E-3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2.0000000000000018E-3</v>
      </c>
      <c r="C30" s="3">
        <f t="shared" si="2"/>
        <v>1.4142135623730961E-3</v>
      </c>
      <c r="D30" s="3">
        <f t="shared" si="0"/>
        <v>4.500000000000004E-3</v>
      </c>
      <c r="E30" s="3">
        <f t="shared" si="2"/>
        <v>2.1213203435596446E-3</v>
      </c>
      <c r="F30" s="3">
        <f t="shared" si="0"/>
        <v>1.2000000000000004E-2</v>
      </c>
      <c r="G30" s="3">
        <f t="shared" si="3"/>
        <v>9.8130778667735948E-18</v>
      </c>
      <c r="H30" s="3">
        <f t="shared" si="0"/>
        <v>3.4999999999999962E-3</v>
      </c>
      <c r="I30" s="3">
        <f t="shared" si="4"/>
        <v>1.3435028842544406E-2</v>
      </c>
      <c r="J30" s="3">
        <f>AVERAGE(J19:J20)</f>
        <v>-4.9999999999999697E-4</v>
      </c>
      <c r="K30" s="3">
        <f>STDEV(J19:J20)</f>
        <v>7.0710678118654328E-4</v>
      </c>
      <c r="L30" s="3">
        <f>AVERAGE(K19:K20)</f>
        <v>5.0000000000000044E-4</v>
      </c>
      <c r="M30" s="3">
        <f>STDEV(K19:K20)</f>
        <v>7.0710678118654816E-4</v>
      </c>
    </row>
    <row r="31" spans="1:13" x14ac:dyDescent="0.25">
      <c r="A31" t="s">
        <v>18</v>
      </c>
      <c r="B31" s="3">
        <f t="shared" si="1"/>
        <v>4.4999999999999971E-3</v>
      </c>
      <c r="C31" s="3">
        <f t="shared" si="2"/>
        <v>7.0710678118653841E-4</v>
      </c>
      <c r="D31" s="3">
        <f t="shared" si="0"/>
        <v>0</v>
      </c>
      <c r="E31" s="3">
        <f t="shared" si="2"/>
        <v>4.2426406871192892E-3</v>
      </c>
      <c r="F31" s="3">
        <f t="shared" si="0"/>
        <v>5.4999999999999979E-3</v>
      </c>
      <c r="G31" s="3">
        <f t="shared" si="3"/>
        <v>3.5355339059327307E-3</v>
      </c>
      <c r="H31" s="3">
        <f t="shared" si="0"/>
        <v>5.0000000000000391E-4</v>
      </c>
      <c r="I31" s="3">
        <f t="shared" si="4"/>
        <v>4.9497474683058325E-3</v>
      </c>
      <c r="L31" s="3"/>
      <c r="M31" s="3"/>
    </row>
    <row r="32" spans="1:13" x14ac:dyDescent="0.25">
      <c r="A32" t="s">
        <v>19</v>
      </c>
      <c r="B32" s="3">
        <f t="shared" si="1"/>
        <v>5.5000000000000049E-3</v>
      </c>
      <c r="C32" s="3">
        <f t="shared" si="2"/>
        <v>3.5355339059327411E-3</v>
      </c>
      <c r="D32" s="3">
        <f t="shared" si="0"/>
        <v>3.9999999999999966E-3</v>
      </c>
      <c r="E32" s="3">
        <f t="shared" si="2"/>
        <v>1.4142135623730866E-3</v>
      </c>
      <c r="F32" s="3">
        <f t="shared" si="0"/>
        <v>6.9999999999999923E-3</v>
      </c>
      <c r="G32" s="3">
        <f t="shared" si="3"/>
        <v>2.8284271247461935E-3</v>
      </c>
      <c r="H32" s="3">
        <f t="shared" si="0"/>
        <v>9.9999999999999395E-4</v>
      </c>
      <c r="I32" s="3">
        <f t="shared" si="4"/>
        <v>9.8130778667735948E-18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8.0000000000000071E-3</v>
      </c>
      <c r="C33" s="3">
        <f t="shared" si="2"/>
        <v>1.8384776310850254E-2</v>
      </c>
      <c r="D33" s="3">
        <f t="shared" si="0"/>
        <v>5.0000000000000044E-4</v>
      </c>
      <c r="E33" s="3">
        <f t="shared" si="2"/>
        <v>3.5355339059327407E-3</v>
      </c>
      <c r="F33" s="3">
        <f t="shared" si="0"/>
        <v>1.55E-2</v>
      </c>
      <c r="G33" s="3">
        <f t="shared" si="3"/>
        <v>1.4849242404917492E-2</v>
      </c>
      <c r="H33" s="3">
        <f t="shared" si="0"/>
        <v>2.0000000000000018E-3</v>
      </c>
      <c r="I33" s="3">
        <f t="shared" si="4"/>
        <v>1.4142135623730961E-3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0.10100000000000001</v>
      </c>
      <c r="C3">
        <v>0.09</v>
      </c>
      <c r="D3">
        <v>8.1000000000000003E-2</v>
      </c>
      <c r="E3">
        <v>9.0999999999999998E-2</v>
      </c>
      <c r="F3">
        <v>0.14899999999999999</v>
      </c>
      <c r="G3">
        <v>0.123</v>
      </c>
      <c r="H3">
        <v>8.5000000000000006E-2</v>
      </c>
      <c r="I3">
        <v>6.3E-2</v>
      </c>
      <c r="J3">
        <v>5.0999999999999997E-2</v>
      </c>
      <c r="K3">
        <v>4.8000000000000001E-2</v>
      </c>
      <c r="L3">
        <v>0.12</v>
      </c>
      <c r="M3">
        <v>9.2999999999999999E-2</v>
      </c>
    </row>
    <row r="4" spans="1:13" x14ac:dyDescent="0.25">
      <c r="A4" t="s">
        <v>14</v>
      </c>
      <c r="B4">
        <v>0.13</v>
      </c>
      <c r="C4">
        <v>0.14299999999999999</v>
      </c>
      <c r="D4">
        <v>0.08</v>
      </c>
      <c r="E4">
        <v>8.7999999999999995E-2</v>
      </c>
      <c r="F4">
        <v>0.151</v>
      </c>
      <c r="G4">
        <v>0.13200000000000001</v>
      </c>
      <c r="H4">
        <v>9.8000000000000004E-2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0.14299999999999999</v>
      </c>
      <c r="C5">
        <v>0.151</v>
      </c>
      <c r="D5">
        <v>8.4000000000000005E-2</v>
      </c>
      <c r="E5">
        <v>7.9000000000000001E-2</v>
      </c>
      <c r="F5">
        <v>0.106</v>
      </c>
      <c r="G5">
        <v>0.11</v>
      </c>
      <c r="H5">
        <v>8.1000000000000003E-2</v>
      </c>
      <c r="I5">
        <v>6.3E-2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0.17799999999999999</v>
      </c>
      <c r="C6">
        <v>0.191</v>
      </c>
      <c r="D6">
        <v>8.3000000000000004E-2</v>
      </c>
      <c r="E6">
        <v>9.0999999999999998E-2</v>
      </c>
      <c r="F6">
        <v>0.123</v>
      </c>
      <c r="G6">
        <v>0.214</v>
      </c>
      <c r="H6">
        <v>7.0999999999999994E-2</v>
      </c>
      <c r="I6">
        <v>0.11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25">
      <c r="A7" t="s">
        <v>17</v>
      </c>
      <c r="B7">
        <v>0.13500000000000001</v>
      </c>
      <c r="C7">
        <v>0.151</v>
      </c>
      <c r="D7">
        <v>8.3000000000000004E-2</v>
      </c>
      <c r="E7">
        <v>9.4E-2</v>
      </c>
      <c r="F7">
        <v>0.123</v>
      </c>
      <c r="G7">
        <v>0.11600000000000001</v>
      </c>
      <c r="H7">
        <v>0.107</v>
      </c>
      <c r="I7">
        <v>7.9000000000000001E-2</v>
      </c>
      <c r="J7">
        <v>6.8000000000000005E-2</v>
      </c>
      <c r="K7">
        <v>7.0000000000000007E-2</v>
      </c>
      <c r="L7">
        <v>0.625</v>
      </c>
      <c r="M7">
        <v>9.6000000000000002E-2</v>
      </c>
    </row>
    <row r="8" spans="1:13" x14ac:dyDescent="0.25">
      <c r="A8" t="s">
        <v>18</v>
      </c>
      <c r="B8">
        <v>0.121</v>
      </c>
      <c r="C8">
        <v>9.4E-2</v>
      </c>
      <c r="D8">
        <v>7.5999999999999998E-2</v>
      </c>
      <c r="E8">
        <v>7.9000000000000001E-2</v>
      </c>
      <c r="F8">
        <v>0.10299999999999999</v>
      </c>
      <c r="G8">
        <v>8.2000000000000003E-2</v>
      </c>
      <c r="H8">
        <v>0.08</v>
      </c>
      <c r="I8">
        <v>5.7000000000000002E-2</v>
      </c>
      <c r="J8">
        <v>4.9000000000000002E-2</v>
      </c>
      <c r="K8">
        <v>6.2E-2</v>
      </c>
      <c r="L8">
        <v>0.36499999999999999</v>
      </c>
      <c r="M8">
        <v>9.7000000000000003E-2</v>
      </c>
    </row>
    <row r="9" spans="1:13" x14ac:dyDescent="0.25">
      <c r="A9" t="s">
        <v>19</v>
      </c>
      <c r="B9">
        <v>0.155</v>
      </c>
      <c r="C9">
        <v>0.17</v>
      </c>
      <c r="D9">
        <v>0.105</v>
      </c>
      <c r="E9">
        <v>0.108</v>
      </c>
      <c r="F9">
        <v>0.121</v>
      </c>
      <c r="G9">
        <v>0.107</v>
      </c>
      <c r="H9">
        <v>7.0999999999999994E-2</v>
      </c>
      <c r="I9">
        <v>7.5999999999999998E-2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0.21199999999999999</v>
      </c>
      <c r="C10">
        <v>0.22500000000000001</v>
      </c>
      <c r="D10">
        <v>0.10299999999999999</v>
      </c>
      <c r="E10">
        <v>0.114</v>
      </c>
      <c r="F10">
        <v>0.254</v>
      </c>
      <c r="G10">
        <v>0.16300000000000001</v>
      </c>
      <c r="H10">
        <v>0.1</v>
      </c>
      <c r="I10">
        <v>9.5000000000000001E-2</v>
      </c>
      <c r="J10">
        <v>9.6000000000000002E-2</v>
      </c>
      <c r="K10">
        <v>0.125</v>
      </c>
      <c r="L10">
        <v>0.125</v>
      </c>
      <c r="M10">
        <v>9.2999999999999999E-2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3.0000000000000027E-3</v>
      </c>
      <c r="C15" s="3">
        <f xml:space="preserve"> C3 - '+0 seg'!$C$3</f>
        <v>4.9999999999999906E-3</v>
      </c>
      <c r="D15" s="3">
        <f xml:space="preserve"> D3 - '+0 seg'!$D$3</f>
        <v>8.0000000000000071E-3</v>
      </c>
      <c r="E15" s="3">
        <f xml:space="preserve"> E3 - '+0 seg'!$E$3</f>
        <v>4.0000000000000036E-3</v>
      </c>
      <c r="F15" s="3">
        <f xml:space="preserve"> F3 - '+0 seg'!$F$3</f>
        <v>2.0000000000000018E-3</v>
      </c>
      <c r="G15" s="3">
        <f xml:space="preserve"> G3 - '+0 seg'!$G$3</f>
        <v>7.9999999999999932E-3</v>
      </c>
      <c r="H15" s="3">
        <f xml:space="preserve"> H3 - '+0 seg'!$H$3</f>
        <v>2.0000000000000018E-3</v>
      </c>
      <c r="I15" s="3">
        <f xml:space="preserve"> I3 - '+0 seg'!$I$3</f>
        <v>2.0000000000000018E-3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2.0000000000000018E-3</v>
      </c>
      <c r="C16" s="3">
        <f xml:space="preserve"> C4 - '+0 seg'!$C$4</f>
        <v>2.9999999999999749E-3</v>
      </c>
      <c r="D16" s="3">
        <f xml:space="preserve"> D4 - '+0 seg'!$D$4</f>
        <v>4.0000000000000036E-3</v>
      </c>
      <c r="E16" s="3">
        <f xml:space="preserve"> E4 - '+0 seg'!$E$4</f>
        <v>3.9999999999999897E-3</v>
      </c>
      <c r="F16" s="3">
        <f xml:space="preserve"> F4 - '+0 seg'!$F$4</f>
        <v>5.0000000000000044E-3</v>
      </c>
      <c r="G16" s="3">
        <f xml:space="preserve"> G4 - '+0 seg'!$G$4</f>
        <v>5.0000000000000044E-3</v>
      </c>
      <c r="H16" s="3">
        <f xml:space="preserve"> H4 - '+0 seg'!$H$4</f>
        <v>7.0000000000000062E-3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2.0000000000000018E-3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2.0000000000000018E-3</v>
      </c>
      <c r="C17" s="3">
        <f xml:space="preserve"> C5 - '+0 seg'!$C$5</f>
        <v>9.000000000000008E-3</v>
      </c>
      <c r="D17" s="3">
        <f xml:space="preserve"> D5 - '+0 seg'!$D$5</f>
        <v>4.0000000000000036E-3</v>
      </c>
      <c r="E17" s="3">
        <f xml:space="preserve"> E5 - '+0 seg'!$E$5</f>
        <v>-1.0000000000000009E-3</v>
      </c>
      <c r="F17" s="3">
        <f xml:space="preserve"> F5 - '+0 seg'!$F$5</f>
        <v>4.9999999999999906E-3</v>
      </c>
      <c r="G17" s="3">
        <f xml:space="preserve"> G5 - '+0 seg'!$G$5</f>
        <v>-6.0000000000000053E-3</v>
      </c>
      <c r="H17" s="3">
        <f xml:space="preserve"> H5 - '+0 seg'!$H$5</f>
        <v>6.0000000000000053E-3</v>
      </c>
      <c r="I17" s="3">
        <f xml:space="preserve"> I5 - '+0 seg'!$I$5</f>
        <v>-6.0000000000000053E-3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6.9999999999999785E-3</v>
      </c>
      <c r="C18" s="3">
        <f xml:space="preserve"> C6 - '+0 seg'!$C$6</f>
        <v>7.0000000000000062E-3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5.9999999999999915E-3</v>
      </c>
      <c r="G18" s="3">
        <f xml:space="preserve"> G6 - '+0 seg'!$G$6</f>
        <v>1.4999999999999986E-2</v>
      </c>
      <c r="H18" s="3">
        <f xml:space="preserve"> H6 - '+0 seg'!$H$6</f>
        <v>2.9999999999999888E-3</v>
      </c>
      <c r="I18" s="3">
        <f xml:space="preserve"> I6 - '+0 seg'!$I$6</f>
        <v>1.0000000000000009E-3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1.0000000000000009E-3</v>
      </c>
    </row>
    <row r="19" spans="1:13" x14ac:dyDescent="0.25">
      <c r="A19" t="s">
        <v>17</v>
      </c>
      <c r="B19" s="3">
        <f xml:space="preserve"> B7 - '+0 seg'!$B$7</f>
        <v>1.0000000000000009E-3</v>
      </c>
      <c r="C19" s="3">
        <f xml:space="preserve"> C7 - '+0 seg'!$C$7</f>
        <v>0</v>
      </c>
      <c r="D19" s="3">
        <f xml:space="preserve"> D7 - '+0 seg'!$D$7</f>
        <v>3.0000000000000027E-3</v>
      </c>
      <c r="E19" s="3">
        <f xml:space="preserve"> E7 - '+0 seg'!$E$7</f>
        <v>6.0000000000000053E-3</v>
      </c>
      <c r="F19" s="3">
        <f xml:space="preserve"> F7 - '+0 seg'!$F$7</f>
        <v>1.0999999999999996E-2</v>
      </c>
      <c r="G19" s="3">
        <f xml:space="preserve"> G7 - '+0 seg'!$G$7</f>
        <v>1.3000000000000012E-2</v>
      </c>
      <c r="H19" s="3">
        <f xml:space="preserve"> H7 - '+0 seg'!$H$7</f>
        <v>1.2999999999999998E-2</v>
      </c>
      <c r="I19" s="3">
        <f xml:space="preserve"> I7 - '+0 seg'!$I$7</f>
        <v>-5.0000000000000044E-3</v>
      </c>
      <c r="J19" s="3">
        <f xml:space="preserve"> J7 - '+0 seg'!$J$7</f>
        <v>-1.0000000000000009E-3</v>
      </c>
      <c r="K19" s="3">
        <f xml:space="preserve"> K7 - '+0 seg'!$K$7</f>
        <v>1.0000000000000009E-3</v>
      </c>
      <c r="L19" s="3">
        <f xml:space="preserve"> L7 - '+0 seg'!$L$7</f>
        <v>-1.8000000000000016E-2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4.9999999999999906E-3</v>
      </c>
      <c r="C20" s="3">
        <f xml:space="preserve"> C8 - '+0 seg'!$C$8</f>
        <v>3.0000000000000027E-3</v>
      </c>
      <c r="D20" s="3">
        <f xml:space="preserve"> D8 - '+0 seg'!$D$8</f>
        <v>-3.0000000000000027E-3</v>
      </c>
      <c r="E20" s="3">
        <f xml:space="preserve"> E8 - '+0 seg'!$E$8</f>
        <v>4.0000000000000036E-3</v>
      </c>
      <c r="F20" s="3">
        <f xml:space="preserve"> F8 - '+0 seg'!$F$8</f>
        <v>6.9999999999999923E-3</v>
      </c>
      <c r="G20" s="3">
        <f xml:space="preserve"> G8 - '+0 seg'!$G$8</f>
        <v>3.0000000000000027E-3</v>
      </c>
      <c r="H20" s="3">
        <f xml:space="preserve"> H8 - '+0 seg'!$H$8</f>
        <v>4.0000000000000036E-3</v>
      </c>
      <c r="I20" s="3">
        <f xml:space="preserve"> I8 - '+0 seg'!$I$8</f>
        <v>-1.9999999999999948E-3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-4.0000000000000036E-3</v>
      </c>
      <c r="M20" s="3">
        <f xml:space="preserve"> M8 - '+0 seg'!$M$8</f>
        <v>0</v>
      </c>
    </row>
    <row r="21" spans="1:13" x14ac:dyDescent="0.25">
      <c r="A21" t="s">
        <v>19</v>
      </c>
      <c r="B21" s="3">
        <f xml:space="preserve"> B9 - '+0 seg'!$B$9</f>
        <v>4.0000000000000036E-3</v>
      </c>
      <c r="C21" s="3">
        <f xml:space="preserve"> C9 - '+0 seg'!$C$9</f>
        <v>8.0000000000000071E-3</v>
      </c>
      <c r="D21" s="3">
        <f xml:space="preserve"> D9 - '+0 seg'!$D$9</f>
        <v>4.9999999999999906E-3</v>
      </c>
      <c r="E21" s="3">
        <f xml:space="preserve"> E9 - '+0 seg'!$E$9</f>
        <v>3.0000000000000027E-3</v>
      </c>
      <c r="F21" s="3">
        <f xml:space="preserve"> F9 - '+0 seg'!$F$9</f>
        <v>4.9999999999999906E-3</v>
      </c>
      <c r="G21" s="3">
        <f xml:space="preserve"> G9 - '+0 seg'!$G$9</f>
        <v>8.9999999999999941E-3</v>
      </c>
      <c r="H21" s="3">
        <f xml:space="preserve"> H9 - '+0 seg'!$H$9</f>
        <v>9.9999999999998701E-4</v>
      </c>
      <c r="I21" s="3">
        <f xml:space="preserve"> I9 - '+0 seg'!$I$9</f>
        <v>2.0000000000000018E-3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-7.0000000000000062E-3</v>
      </c>
      <c r="C22" s="3">
        <f xml:space="preserve"> C10 - '+0 seg'!$C$10</f>
        <v>2.0000000000000018E-2</v>
      </c>
      <c r="D22" s="3">
        <f xml:space="preserve"> D10 - '+0 seg'!$D$10</f>
        <v>-2.0000000000000018E-3</v>
      </c>
      <c r="E22" s="3">
        <f xml:space="preserve"> E10 - '+0 seg'!$E$10</f>
        <v>2.0000000000000018E-3</v>
      </c>
      <c r="F22" s="3">
        <f xml:space="preserve"> F10 - '+0 seg'!$F$10</f>
        <v>2.7999999999999997E-2</v>
      </c>
      <c r="G22" s="3">
        <f xml:space="preserve"> G10 - '+0 seg'!$G$10</f>
        <v>4.0000000000000036E-3</v>
      </c>
      <c r="H22" s="3">
        <f xml:space="preserve"> H10 - '+0 seg'!$H$10</f>
        <v>3.0000000000000027E-3</v>
      </c>
      <c r="I22" s="3">
        <f xml:space="preserve"> I10 - '+0 seg'!$I$10</f>
        <v>3.0000000000000027E-3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-3.0000000000000027E-3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3.9999999999999966E-3</v>
      </c>
      <c r="C26" s="3">
        <f>STDEV(B15:C15)</f>
        <v>1.4142135623730866E-3</v>
      </c>
      <c r="D26" s="3">
        <f t="shared" ref="D26:H33" si="0">AVERAGE(D15:E15)</f>
        <v>6.0000000000000053E-3</v>
      </c>
      <c r="E26" s="3">
        <f>STDEV(D15:E15)</f>
        <v>2.8284271247461957E-3</v>
      </c>
      <c r="F26" s="3">
        <f t="shared" si="0"/>
        <v>4.9999999999999975E-3</v>
      </c>
      <c r="G26" s="3">
        <f>STDEV(F15:G15)</f>
        <v>4.2426406871192788E-3</v>
      </c>
      <c r="H26" s="3">
        <f t="shared" si="0"/>
        <v>2.0000000000000018E-3</v>
      </c>
      <c r="I26" s="3">
        <f>STDEV(H15:I15)</f>
        <v>0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-9.9999999999999742E-4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2.4999999999999883E-3</v>
      </c>
      <c r="C27" s="3">
        <f t="shared" ref="C27:E33" si="2">STDEV(B16:C16)</f>
        <v>7.0710678118652854E-4</v>
      </c>
      <c r="D27" s="3">
        <f t="shared" si="0"/>
        <v>3.9999999999999966E-3</v>
      </c>
      <c r="E27" s="3">
        <f t="shared" si="2"/>
        <v>9.8130778667735948E-18</v>
      </c>
      <c r="F27" s="3">
        <f t="shared" si="0"/>
        <v>5.0000000000000044E-3</v>
      </c>
      <c r="G27" s="3">
        <f t="shared" ref="G27:G33" si="3">STDEV(F16:G16)</f>
        <v>0</v>
      </c>
      <c r="H27" s="3">
        <f t="shared" si="0"/>
        <v>5.0000000000000044E-3</v>
      </c>
      <c r="I27" s="3">
        <f t="shared" ref="I27:I33" si="4">STDEV(H16:I16)</f>
        <v>2.8284271247461922E-3</v>
      </c>
      <c r="L27" s="3"/>
      <c r="M27" s="3"/>
    </row>
    <row r="28" spans="1:13" x14ac:dyDescent="0.25">
      <c r="A28" t="s">
        <v>15</v>
      </c>
      <c r="B28" s="3">
        <f t="shared" si="1"/>
        <v>5.5000000000000049E-3</v>
      </c>
      <c r="C28" s="3">
        <f t="shared" si="2"/>
        <v>4.949747468305836E-3</v>
      </c>
      <c r="D28" s="3">
        <f t="shared" si="0"/>
        <v>1.5000000000000013E-3</v>
      </c>
      <c r="E28" s="3">
        <f t="shared" si="2"/>
        <v>3.5355339059327407E-3</v>
      </c>
      <c r="F28" s="3">
        <f t="shared" si="0"/>
        <v>-5.0000000000000738E-4</v>
      </c>
      <c r="G28" s="3">
        <f t="shared" si="3"/>
        <v>7.7781745930520195E-3</v>
      </c>
      <c r="H28" s="3">
        <f t="shared" si="0"/>
        <v>0</v>
      </c>
      <c r="I28" s="3">
        <f t="shared" si="4"/>
        <v>8.4852813742385784E-3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6.9999999999999923E-3</v>
      </c>
      <c r="C29" s="3">
        <f t="shared" si="2"/>
        <v>1.962615573354719E-17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1.0499999999999989E-2</v>
      </c>
      <c r="G29" s="3">
        <f t="shared" si="3"/>
        <v>6.3639610306789243E-3</v>
      </c>
      <c r="H29" s="3">
        <f t="shared" si="0"/>
        <v>1.9999999999999948E-3</v>
      </c>
      <c r="I29" s="3">
        <f t="shared" si="4"/>
        <v>1.4142135623730866E-3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5.0000000000000044E-4</v>
      </c>
      <c r="C30" s="3">
        <f t="shared" si="2"/>
        <v>7.0710678118654816E-4</v>
      </c>
      <c r="D30" s="3">
        <f t="shared" si="0"/>
        <v>4.500000000000004E-3</v>
      </c>
      <c r="E30" s="3">
        <f t="shared" si="2"/>
        <v>2.1213203435596446E-3</v>
      </c>
      <c r="F30" s="3">
        <f t="shared" si="0"/>
        <v>1.2000000000000004E-2</v>
      </c>
      <c r="G30" s="3">
        <f t="shared" si="3"/>
        <v>1.4142135623731061E-3</v>
      </c>
      <c r="H30" s="3">
        <f t="shared" si="0"/>
        <v>3.9999999999999966E-3</v>
      </c>
      <c r="I30" s="3">
        <f t="shared" si="4"/>
        <v>1.2727922061357857E-2</v>
      </c>
      <c r="J30" s="3">
        <f>AVERAGE(J19:J20)</f>
        <v>-1.4999999999999979E-3</v>
      </c>
      <c r="K30" s="3">
        <f>STDEV(J19:J20)</f>
        <v>7.0710678118654328E-4</v>
      </c>
      <c r="L30" s="3">
        <f>AVERAGE(K19:K20)</f>
        <v>5.0000000000000044E-4</v>
      </c>
      <c r="M30" s="3">
        <f>STDEV(K19:K20)</f>
        <v>7.0710678118654816E-4</v>
      </c>
    </row>
    <row r="31" spans="1:13" x14ac:dyDescent="0.25">
      <c r="A31" t="s">
        <v>18</v>
      </c>
      <c r="B31" s="3">
        <f t="shared" si="1"/>
        <v>3.9999999999999966E-3</v>
      </c>
      <c r="C31" s="3">
        <f t="shared" si="2"/>
        <v>1.4142135623730866E-3</v>
      </c>
      <c r="D31" s="3">
        <f t="shared" si="0"/>
        <v>5.0000000000000044E-4</v>
      </c>
      <c r="E31" s="3">
        <f t="shared" si="2"/>
        <v>4.9497474683058368E-3</v>
      </c>
      <c r="F31" s="3">
        <f t="shared" si="0"/>
        <v>4.9999999999999975E-3</v>
      </c>
      <c r="G31" s="3">
        <f t="shared" si="3"/>
        <v>2.8284271247461827E-3</v>
      </c>
      <c r="H31" s="3">
        <f t="shared" si="0"/>
        <v>1.0000000000000044E-3</v>
      </c>
      <c r="I31" s="3">
        <f t="shared" si="4"/>
        <v>4.242640687119284E-3</v>
      </c>
      <c r="L31" s="3"/>
      <c r="M31" s="3"/>
    </row>
    <row r="32" spans="1:13" x14ac:dyDescent="0.25">
      <c r="A32" t="s">
        <v>19</v>
      </c>
      <c r="B32" s="3">
        <f t="shared" si="1"/>
        <v>6.0000000000000053E-3</v>
      </c>
      <c r="C32" s="3">
        <f t="shared" si="2"/>
        <v>2.8284271247461957E-3</v>
      </c>
      <c r="D32" s="3">
        <f t="shared" si="0"/>
        <v>3.9999999999999966E-3</v>
      </c>
      <c r="E32" s="3">
        <f t="shared" si="2"/>
        <v>1.4142135623730866E-3</v>
      </c>
      <c r="F32" s="3">
        <f t="shared" si="0"/>
        <v>6.9999999999999923E-3</v>
      </c>
      <c r="G32" s="3">
        <f t="shared" si="3"/>
        <v>2.8284271247461935E-3</v>
      </c>
      <c r="H32" s="3">
        <f t="shared" si="0"/>
        <v>1.4999999999999944E-3</v>
      </c>
      <c r="I32" s="3">
        <f t="shared" si="4"/>
        <v>7.0710678118655803E-4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6.5000000000000058E-3</v>
      </c>
      <c r="C33" s="3">
        <f t="shared" si="2"/>
        <v>1.9091883092036802E-2</v>
      </c>
      <c r="D33" s="3">
        <f t="shared" si="0"/>
        <v>0</v>
      </c>
      <c r="E33" s="3">
        <f t="shared" si="2"/>
        <v>2.8284271247461927E-3</v>
      </c>
      <c r="F33" s="3">
        <f t="shared" si="0"/>
        <v>1.6E-2</v>
      </c>
      <c r="G33" s="3">
        <f t="shared" si="3"/>
        <v>1.6970562748477139E-2</v>
      </c>
      <c r="H33" s="3">
        <f t="shared" si="0"/>
        <v>3.0000000000000027E-3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0.10199999999999999</v>
      </c>
      <c r="C3">
        <v>0.09</v>
      </c>
      <c r="D3">
        <v>8.1000000000000003E-2</v>
      </c>
      <c r="E3">
        <v>9.0999999999999998E-2</v>
      </c>
      <c r="F3">
        <v>0.15</v>
      </c>
      <c r="G3">
        <v>0.124</v>
      </c>
      <c r="H3">
        <v>8.5000000000000006E-2</v>
      </c>
      <c r="I3">
        <v>6.4000000000000001E-2</v>
      </c>
      <c r="J3">
        <v>5.1999999999999998E-2</v>
      </c>
      <c r="K3">
        <v>4.8000000000000001E-2</v>
      </c>
      <c r="L3">
        <v>0.12</v>
      </c>
      <c r="M3">
        <v>9.2999999999999999E-2</v>
      </c>
    </row>
    <row r="4" spans="1:13" x14ac:dyDescent="0.25">
      <c r="A4" t="s">
        <v>14</v>
      </c>
      <c r="B4">
        <v>0.13100000000000001</v>
      </c>
      <c r="C4">
        <v>0.14399999999999999</v>
      </c>
      <c r="D4">
        <v>7.9000000000000001E-2</v>
      </c>
      <c r="E4">
        <v>8.6999999999999994E-2</v>
      </c>
      <c r="F4">
        <v>0.15</v>
      </c>
      <c r="G4">
        <v>0.13200000000000001</v>
      </c>
      <c r="H4">
        <v>9.7000000000000003E-2</v>
      </c>
      <c r="I4">
        <v>9.5000000000000001E-2</v>
      </c>
      <c r="J4">
        <v>6.0999999999999999E-2</v>
      </c>
      <c r="K4">
        <v>5.5E-2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0.14299999999999999</v>
      </c>
      <c r="C5">
        <v>0.151</v>
      </c>
      <c r="D5">
        <v>8.5000000000000006E-2</v>
      </c>
      <c r="E5">
        <v>7.9000000000000001E-2</v>
      </c>
      <c r="F5">
        <v>0.106</v>
      </c>
      <c r="G5">
        <v>0.11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25">
      <c r="A6" t="s">
        <v>16</v>
      </c>
      <c r="B6">
        <v>0.17799999999999999</v>
      </c>
      <c r="C6">
        <v>0.19500000000000001</v>
      </c>
      <c r="D6">
        <v>8.3000000000000004E-2</v>
      </c>
      <c r="E6">
        <v>9.0999999999999998E-2</v>
      </c>
      <c r="F6">
        <v>0.123</v>
      </c>
      <c r="G6">
        <v>0.215</v>
      </c>
      <c r="H6">
        <v>7.0000000000000007E-2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25">
      <c r="A7" t="s">
        <v>17</v>
      </c>
      <c r="B7">
        <v>0.13500000000000001</v>
      </c>
      <c r="C7">
        <v>0.151</v>
      </c>
      <c r="D7">
        <v>8.2000000000000003E-2</v>
      </c>
      <c r="E7">
        <v>9.5000000000000001E-2</v>
      </c>
      <c r="F7">
        <v>0.125</v>
      </c>
      <c r="G7">
        <v>0.11700000000000001</v>
      </c>
      <c r="H7">
        <v>0.107</v>
      </c>
      <c r="I7">
        <v>7.6999999999999999E-2</v>
      </c>
      <c r="J7">
        <v>6.9000000000000006E-2</v>
      </c>
      <c r="K7">
        <v>7.0000000000000007E-2</v>
      </c>
      <c r="L7">
        <v>0.63</v>
      </c>
      <c r="M7">
        <v>9.6000000000000002E-2</v>
      </c>
    </row>
    <row r="8" spans="1:13" x14ac:dyDescent="0.25">
      <c r="A8" t="s">
        <v>18</v>
      </c>
      <c r="B8">
        <v>0.122</v>
      </c>
      <c r="C8">
        <v>9.4E-2</v>
      </c>
      <c r="D8">
        <v>7.4999999999999997E-2</v>
      </c>
      <c r="E8">
        <v>7.9000000000000001E-2</v>
      </c>
      <c r="F8">
        <v>0.105</v>
      </c>
      <c r="G8">
        <v>8.3000000000000004E-2</v>
      </c>
      <c r="H8">
        <v>0.08</v>
      </c>
      <c r="I8">
        <v>5.6000000000000001E-2</v>
      </c>
      <c r="J8">
        <v>4.9000000000000002E-2</v>
      </c>
      <c r="K8">
        <v>6.2E-2</v>
      </c>
      <c r="L8">
        <v>0.36</v>
      </c>
      <c r="M8">
        <v>9.7000000000000003E-2</v>
      </c>
    </row>
    <row r="9" spans="1:13" x14ac:dyDescent="0.25">
      <c r="A9" t="s">
        <v>19</v>
      </c>
      <c r="B9">
        <v>0.155</v>
      </c>
      <c r="C9">
        <v>0.17</v>
      </c>
      <c r="D9">
        <v>0.106</v>
      </c>
      <c r="E9">
        <v>0.108</v>
      </c>
      <c r="F9">
        <v>0.12</v>
      </c>
      <c r="G9">
        <v>0.108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0.21299999999999999</v>
      </c>
      <c r="C10">
        <v>0.22600000000000001</v>
      </c>
      <c r="D10">
        <v>0.10299999999999999</v>
      </c>
      <c r="E10">
        <v>0.11600000000000001</v>
      </c>
      <c r="F10">
        <v>0.25600000000000001</v>
      </c>
      <c r="G10">
        <v>0.16300000000000001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3.9999999999999897E-3</v>
      </c>
      <c r="C15" s="3">
        <f xml:space="preserve"> C3 - '+0 seg'!$C$3</f>
        <v>4.9999999999999906E-3</v>
      </c>
      <c r="D15" s="3">
        <f xml:space="preserve"> D3 - '+0 seg'!$D$3</f>
        <v>8.0000000000000071E-3</v>
      </c>
      <c r="E15" s="3">
        <f xml:space="preserve"> E3 - '+0 seg'!$E$3</f>
        <v>4.0000000000000036E-3</v>
      </c>
      <c r="F15" s="3">
        <f xml:space="preserve"> F3 - '+0 seg'!$F$3</f>
        <v>3.0000000000000027E-3</v>
      </c>
      <c r="G15" s="3">
        <f xml:space="preserve"> G3 - '+0 seg'!$G$3</f>
        <v>8.9999999999999941E-3</v>
      </c>
      <c r="H15" s="3">
        <f xml:space="preserve"> H3 - '+0 seg'!$H$3</f>
        <v>2.0000000000000018E-3</v>
      </c>
      <c r="I15" s="3">
        <f xml:space="preserve"> I3 - '+0 seg'!$I$3</f>
        <v>3.0000000000000027E-3</v>
      </c>
      <c r="J15" s="3">
        <f xml:space="preserve"> J3 - '+0 seg'!$J$3</f>
        <v>1.0000000000000009E-3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3.0000000000000027E-3</v>
      </c>
      <c r="C16" s="3">
        <f xml:space="preserve"> C4 - '+0 seg'!$C$4</f>
        <v>3.9999999999999758E-3</v>
      </c>
      <c r="D16" s="3">
        <f xml:space="preserve"> D4 - '+0 seg'!$D$4</f>
        <v>3.0000000000000027E-3</v>
      </c>
      <c r="E16" s="3">
        <f xml:space="preserve"> E4 - '+0 seg'!$E$4</f>
        <v>2.9999999999999888E-3</v>
      </c>
      <c r="F16" s="3">
        <f xml:space="preserve"> F4 - '+0 seg'!$F$4</f>
        <v>4.0000000000000036E-3</v>
      </c>
      <c r="G16" s="3">
        <f xml:space="preserve"> G4 - '+0 seg'!$G$4</f>
        <v>5.0000000000000044E-3</v>
      </c>
      <c r="H16" s="3">
        <f xml:space="preserve"> H4 - '+0 seg'!$H$4</f>
        <v>6.0000000000000053E-3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3.0000000000000027E-3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2.0000000000000018E-3</v>
      </c>
      <c r="C17" s="3">
        <f xml:space="preserve"> C5 - '+0 seg'!$C$5</f>
        <v>9.000000000000008E-3</v>
      </c>
      <c r="D17" s="3">
        <f xml:space="preserve"> D5 - '+0 seg'!$D$5</f>
        <v>5.0000000000000044E-3</v>
      </c>
      <c r="E17" s="3">
        <f xml:space="preserve"> E5 - '+0 seg'!$E$5</f>
        <v>-1.0000000000000009E-3</v>
      </c>
      <c r="F17" s="3">
        <f xml:space="preserve"> F5 - '+0 seg'!$F$5</f>
        <v>4.9999999999999906E-3</v>
      </c>
      <c r="G17" s="3">
        <f xml:space="preserve"> G5 - '+0 seg'!$G$5</f>
        <v>-6.0000000000000053E-3</v>
      </c>
      <c r="H17" s="3">
        <f xml:space="preserve"> H5 - '+0 seg'!$H$5</f>
        <v>5.0000000000000044E-3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0</v>
      </c>
    </row>
    <row r="18" spans="1:13" x14ac:dyDescent="0.25">
      <c r="A18" t="s">
        <v>16</v>
      </c>
      <c r="B18" s="3">
        <f xml:space="preserve"> B6 - '+0 seg'!$B$6</f>
        <v>6.9999999999999785E-3</v>
      </c>
      <c r="C18" s="3">
        <f xml:space="preserve"> C6 - '+0 seg'!$C$6</f>
        <v>1.100000000000001E-2</v>
      </c>
      <c r="D18" s="3">
        <f xml:space="preserve"> D6 - '+0 seg'!$D$6</f>
        <v>1.0000000000000009E-3</v>
      </c>
      <c r="E18" s="3">
        <f xml:space="preserve"> E6 - '+0 seg'!$E$6</f>
        <v>0</v>
      </c>
      <c r="F18" s="3">
        <f xml:space="preserve"> F6 - '+0 seg'!$F$6</f>
        <v>5.9999999999999915E-3</v>
      </c>
      <c r="G18" s="3">
        <f xml:space="preserve"> G6 - '+0 seg'!$G$6</f>
        <v>1.5999999999999986E-2</v>
      </c>
      <c r="H18" s="3">
        <f xml:space="preserve"> H6 - '+0 seg'!$H$6</f>
        <v>2.0000000000000018E-3</v>
      </c>
      <c r="I18" s="3">
        <f xml:space="preserve"> I6 - '+0 seg'!$I$6</f>
        <v>2.0000000000000018E-3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1.0000000000000009E-3</v>
      </c>
    </row>
    <row r="19" spans="1:13" x14ac:dyDescent="0.25">
      <c r="A19" t="s">
        <v>17</v>
      </c>
      <c r="B19" s="3">
        <f xml:space="preserve"> B7 - '+0 seg'!$B$7</f>
        <v>1.0000000000000009E-3</v>
      </c>
      <c r="C19" s="3">
        <f xml:space="preserve"> C7 - '+0 seg'!$C$7</f>
        <v>0</v>
      </c>
      <c r="D19" s="3">
        <f xml:space="preserve"> D7 - '+0 seg'!$D$7</f>
        <v>2.0000000000000018E-3</v>
      </c>
      <c r="E19" s="3">
        <f xml:space="preserve"> E7 - '+0 seg'!$E$7</f>
        <v>7.0000000000000062E-3</v>
      </c>
      <c r="F19" s="3">
        <f xml:space="preserve"> F7 - '+0 seg'!$F$7</f>
        <v>1.2999999999999998E-2</v>
      </c>
      <c r="G19" s="3">
        <f xml:space="preserve"> G7 - '+0 seg'!$G$7</f>
        <v>1.4000000000000012E-2</v>
      </c>
      <c r="H19" s="3">
        <f xml:space="preserve"> H7 - '+0 seg'!$H$7</f>
        <v>1.2999999999999998E-2</v>
      </c>
      <c r="I19" s="3">
        <f xml:space="preserve"> I7 - '+0 seg'!$I$7</f>
        <v>-7.0000000000000062E-3</v>
      </c>
      <c r="J19" s="3">
        <f xml:space="preserve"> J7 - '+0 seg'!$J$7</f>
        <v>0</v>
      </c>
      <c r="K19" s="3">
        <f xml:space="preserve"> K7 - '+0 seg'!$K$7</f>
        <v>1.0000000000000009E-3</v>
      </c>
      <c r="L19" s="3">
        <f xml:space="preserve"> L7 - '+0 seg'!$L$7</f>
        <v>-1.3000000000000012E-2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5.9999999999999915E-3</v>
      </c>
      <c r="C20" s="3">
        <f xml:space="preserve"> C8 - '+0 seg'!$C$8</f>
        <v>3.0000000000000027E-3</v>
      </c>
      <c r="D20" s="3">
        <f xml:space="preserve"> D8 - '+0 seg'!$D$8</f>
        <v>-4.0000000000000036E-3</v>
      </c>
      <c r="E20" s="3">
        <f xml:space="preserve"> E8 - '+0 seg'!$E$8</f>
        <v>4.0000000000000036E-3</v>
      </c>
      <c r="F20" s="3">
        <f xml:space="preserve"> F8 - '+0 seg'!$F$8</f>
        <v>8.9999999999999941E-3</v>
      </c>
      <c r="G20" s="3">
        <f xml:space="preserve"> G8 - '+0 seg'!$G$8</f>
        <v>4.0000000000000036E-3</v>
      </c>
      <c r="H20" s="3">
        <f xml:space="preserve"> H8 - '+0 seg'!$H$8</f>
        <v>4.0000000000000036E-3</v>
      </c>
      <c r="I20" s="3">
        <f xml:space="preserve"> I8 - '+0 seg'!$I$8</f>
        <v>-2.9999999999999957E-3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-9.000000000000008E-3</v>
      </c>
      <c r="M20" s="3">
        <f xml:space="preserve"> M8 - '+0 seg'!$M$8</f>
        <v>0</v>
      </c>
    </row>
    <row r="21" spans="1:13" x14ac:dyDescent="0.25">
      <c r="A21" t="s">
        <v>19</v>
      </c>
      <c r="B21" s="3">
        <f xml:space="preserve"> B9 - '+0 seg'!$B$9</f>
        <v>4.0000000000000036E-3</v>
      </c>
      <c r="C21" s="3">
        <f xml:space="preserve"> C9 - '+0 seg'!$C$9</f>
        <v>8.0000000000000071E-3</v>
      </c>
      <c r="D21" s="3">
        <f xml:space="preserve"> D9 - '+0 seg'!$D$9</f>
        <v>5.9999999999999915E-3</v>
      </c>
      <c r="E21" s="3">
        <f xml:space="preserve"> E9 - '+0 seg'!$E$9</f>
        <v>3.0000000000000027E-3</v>
      </c>
      <c r="F21" s="3">
        <f xml:space="preserve"> F9 - '+0 seg'!$F$9</f>
        <v>3.9999999999999897E-3</v>
      </c>
      <c r="G21" s="3">
        <f xml:space="preserve"> G9 - '+0 seg'!$G$9</f>
        <v>9.999999999999995E-3</v>
      </c>
      <c r="H21" s="3">
        <f xml:space="preserve"> H9 - '+0 seg'!$H$9</f>
        <v>0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-6.0000000000000053E-3</v>
      </c>
      <c r="C22" s="3">
        <f xml:space="preserve"> C10 - '+0 seg'!$C$10</f>
        <v>2.1000000000000019E-2</v>
      </c>
      <c r="D22" s="3">
        <f xml:space="preserve"> D10 - '+0 seg'!$D$10</f>
        <v>-2.0000000000000018E-3</v>
      </c>
      <c r="E22" s="3">
        <f xml:space="preserve"> E10 - '+0 seg'!$E$10</f>
        <v>4.0000000000000036E-3</v>
      </c>
      <c r="F22" s="3">
        <f xml:space="preserve"> F10 - '+0 seg'!$F$10</f>
        <v>0.03</v>
      </c>
      <c r="G22" s="3">
        <f xml:space="preserve"> G10 - '+0 seg'!$G$10</f>
        <v>4.0000000000000036E-3</v>
      </c>
      <c r="H22" s="3">
        <f xml:space="preserve"> H10 - '+0 seg'!$H$10</f>
        <v>3.0000000000000027E-3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4.4999999999999901E-3</v>
      </c>
      <c r="C26" s="3">
        <f>STDEV(B15:C15)</f>
        <v>7.0710678118654816E-4</v>
      </c>
      <c r="D26" s="3">
        <f t="shared" ref="D26:H33" si="0">AVERAGE(D15:E15)</f>
        <v>6.0000000000000053E-3</v>
      </c>
      <c r="E26" s="3">
        <f>STDEV(D15:E15)</f>
        <v>2.8284271247461957E-3</v>
      </c>
      <c r="F26" s="3">
        <f t="shared" si="0"/>
        <v>5.9999999999999984E-3</v>
      </c>
      <c r="G26" s="3">
        <f>STDEV(F15:G15)</f>
        <v>4.2426406871192788E-3</v>
      </c>
      <c r="H26" s="3">
        <f t="shared" si="0"/>
        <v>2.5000000000000022E-3</v>
      </c>
      <c r="I26" s="3">
        <f>STDEV(H15:I15)</f>
        <v>7.0710678118654816E-4</v>
      </c>
      <c r="J26" s="3">
        <f>AVERAGE(J15:J16)</f>
        <v>0</v>
      </c>
      <c r="K26" s="3">
        <f>STDEV(J15:J16)</f>
        <v>1.4142135623730963E-3</v>
      </c>
      <c r="L26" s="3">
        <f>AVERAGE(K15:K16)</f>
        <v>-4.9999999999999697E-4</v>
      </c>
      <c r="M26" s="3">
        <f>STDEV(K15:K16)</f>
        <v>4.9497474683058316E-3</v>
      </c>
    </row>
    <row r="27" spans="1:13" x14ac:dyDescent="0.25">
      <c r="A27" t="s">
        <v>14</v>
      </c>
      <c r="B27" s="3">
        <f t="shared" ref="B27:B33" si="1">AVERAGE(B16:C16)</f>
        <v>3.4999999999999892E-3</v>
      </c>
      <c r="C27" s="3">
        <f t="shared" ref="C27:E33" si="2">STDEV(B16:C16)</f>
        <v>7.0710678118652854E-4</v>
      </c>
      <c r="D27" s="3">
        <f t="shared" si="0"/>
        <v>2.9999999999999957E-3</v>
      </c>
      <c r="E27" s="3">
        <f t="shared" si="2"/>
        <v>9.8130778667735948E-18</v>
      </c>
      <c r="F27" s="3">
        <f t="shared" si="0"/>
        <v>4.500000000000004E-3</v>
      </c>
      <c r="G27" s="3">
        <f t="shared" ref="G27:G33" si="3">STDEV(F16:G16)</f>
        <v>7.0710678118654816E-4</v>
      </c>
      <c r="H27" s="3">
        <f t="shared" si="0"/>
        <v>4.500000000000004E-3</v>
      </c>
      <c r="I27" s="3">
        <f t="shared" ref="I27:I33" si="4">STDEV(H16:I16)</f>
        <v>2.1213203435596446E-3</v>
      </c>
      <c r="L27" s="3"/>
      <c r="M27" s="3"/>
    </row>
    <row r="28" spans="1:13" x14ac:dyDescent="0.25">
      <c r="A28" t="s">
        <v>15</v>
      </c>
      <c r="B28" s="3">
        <f t="shared" si="1"/>
        <v>5.5000000000000049E-3</v>
      </c>
      <c r="C28" s="3">
        <f t="shared" si="2"/>
        <v>4.949747468305836E-3</v>
      </c>
      <c r="D28" s="3">
        <f t="shared" si="0"/>
        <v>2.0000000000000018E-3</v>
      </c>
      <c r="E28" s="3">
        <f t="shared" si="2"/>
        <v>4.2426406871192892E-3</v>
      </c>
      <c r="F28" s="3">
        <f t="shared" si="0"/>
        <v>-5.0000000000000738E-4</v>
      </c>
      <c r="G28" s="3">
        <f t="shared" si="3"/>
        <v>7.7781745930520195E-3</v>
      </c>
      <c r="H28" s="3">
        <f t="shared" si="0"/>
        <v>-1.0000000000000009E-3</v>
      </c>
      <c r="I28" s="3">
        <f t="shared" si="4"/>
        <v>8.4852813742385784E-3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8.9999999999999941E-3</v>
      </c>
      <c r="C29" s="3">
        <f t="shared" si="2"/>
        <v>2.8284271247462122E-3</v>
      </c>
      <c r="D29" s="3">
        <f t="shared" si="0"/>
        <v>5.0000000000000044E-4</v>
      </c>
      <c r="E29" s="3">
        <f t="shared" si="2"/>
        <v>7.0710678118654816E-4</v>
      </c>
      <c r="F29" s="3">
        <f t="shared" si="0"/>
        <v>1.0999999999999989E-2</v>
      </c>
      <c r="G29" s="3">
        <f t="shared" si="3"/>
        <v>7.071067811865471E-3</v>
      </c>
      <c r="H29" s="3">
        <f t="shared" si="0"/>
        <v>2.0000000000000018E-3</v>
      </c>
      <c r="I29" s="3">
        <f t="shared" si="4"/>
        <v>0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5.0000000000000044E-4</v>
      </c>
      <c r="C30" s="3">
        <f t="shared" si="2"/>
        <v>7.0710678118654816E-4</v>
      </c>
      <c r="D30" s="3">
        <f t="shared" si="0"/>
        <v>4.500000000000004E-3</v>
      </c>
      <c r="E30" s="3">
        <f t="shared" si="2"/>
        <v>3.5355339059327411E-3</v>
      </c>
      <c r="F30" s="3">
        <f t="shared" si="0"/>
        <v>1.3500000000000005E-2</v>
      </c>
      <c r="G30" s="3">
        <f t="shared" si="3"/>
        <v>7.0710678118655803E-4</v>
      </c>
      <c r="H30" s="3">
        <f t="shared" si="0"/>
        <v>2.9999999999999957E-3</v>
      </c>
      <c r="I30" s="3">
        <f t="shared" si="4"/>
        <v>1.4142135623730952E-2</v>
      </c>
      <c r="J30" s="3">
        <f>AVERAGE(J19:J20)</f>
        <v>-9.9999999999999742E-4</v>
      </c>
      <c r="K30" s="3">
        <f>STDEV(J19:J20)</f>
        <v>1.4142135623730913E-3</v>
      </c>
      <c r="L30" s="3">
        <f>AVERAGE(K19:K20)</f>
        <v>5.0000000000000044E-4</v>
      </c>
      <c r="M30" s="3">
        <f>STDEV(K19:K20)</f>
        <v>7.0710678118654816E-4</v>
      </c>
    </row>
    <row r="31" spans="1:13" x14ac:dyDescent="0.25">
      <c r="A31" t="s">
        <v>18</v>
      </c>
      <c r="B31" s="3">
        <f t="shared" si="1"/>
        <v>4.4999999999999971E-3</v>
      </c>
      <c r="C31" s="3">
        <f t="shared" si="2"/>
        <v>2.1213203435596346E-3</v>
      </c>
      <c r="D31" s="3">
        <f t="shared" si="0"/>
        <v>0</v>
      </c>
      <c r="E31" s="3">
        <f t="shared" si="2"/>
        <v>5.6568542494923853E-3</v>
      </c>
      <c r="F31" s="3">
        <f t="shared" si="0"/>
        <v>6.4999999999999988E-3</v>
      </c>
      <c r="G31" s="3">
        <f t="shared" si="3"/>
        <v>3.5355339059327307E-3</v>
      </c>
      <c r="H31" s="3">
        <f t="shared" si="0"/>
        <v>5.0000000000000391E-4</v>
      </c>
      <c r="I31" s="3">
        <f t="shared" si="4"/>
        <v>4.9497474683058325E-3</v>
      </c>
      <c r="L31" s="3"/>
      <c r="M31" s="3"/>
    </row>
    <row r="32" spans="1:13" x14ac:dyDescent="0.25">
      <c r="A32" t="s">
        <v>19</v>
      </c>
      <c r="B32" s="3">
        <f t="shared" si="1"/>
        <v>6.0000000000000053E-3</v>
      </c>
      <c r="C32" s="3">
        <f t="shared" si="2"/>
        <v>2.8284271247461957E-3</v>
      </c>
      <c r="D32" s="3">
        <f t="shared" si="0"/>
        <v>4.4999999999999971E-3</v>
      </c>
      <c r="E32" s="3">
        <f t="shared" si="2"/>
        <v>2.1213203435596346E-3</v>
      </c>
      <c r="F32" s="3">
        <f t="shared" si="0"/>
        <v>6.9999999999999923E-3</v>
      </c>
      <c r="G32" s="3">
        <f t="shared" si="3"/>
        <v>4.2426406871192892E-3</v>
      </c>
      <c r="H32" s="3">
        <f t="shared" si="0"/>
        <v>5.0000000000000044E-4</v>
      </c>
      <c r="I32" s="3">
        <f t="shared" si="4"/>
        <v>7.0710678118654816E-4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7.5000000000000067E-3</v>
      </c>
      <c r="C33" s="3">
        <f t="shared" si="2"/>
        <v>1.9091883092036802E-2</v>
      </c>
      <c r="D33" s="3">
        <f t="shared" si="0"/>
        <v>1.0000000000000009E-3</v>
      </c>
      <c r="E33" s="3">
        <f t="shared" si="2"/>
        <v>4.2426406871192892E-3</v>
      </c>
      <c r="F33" s="3">
        <f t="shared" si="0"/>
        <v>1.7000000000000001E-2</v>
      </c>
      <c r="G33" s="3">
        <f t="shared" si="3"/>
        <v>1.8384776310850236E-2</v>
      </c>
      <c r="H33" s="3">
        <f t="shared" si="0"/>
        <v>2.5000000000000022E-3</v>
      </c>
      <c r="I33" s="3">
        <f t="shared" si="4"/>
        <v>7.0710678118654816E-4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0.10100000000000001</v>
      </c>
      <c r="C3">
        <v>0.09</v>
      </c>
      <c r="D3">
        <v>8.2000000000000003E-2</v>
      </c>
      <c r="E3">
        <v>8.8999999999999996E-2</v>
      </c>
      <c r="F3">
        <v>0.152</v>
      </c>
      <c r="G3">
        <v>0.125</v>
      </c>
      <c r="H3">
        <v>8.5000000000000006E-2</v>
      </c>
      <c r="I3">
        <v>6.5000000000000002E-2</v>
      </c>
      <c r="J3">
        <v>5.0999999999999997E-2</v>
      </c>
      <c r="K3">
        <v>4.8000000000000001E-2</v>
      </c>
      <c r="L3">
        <v>0.12</v>
      </c>
      <c r="M3">
        <v>9.2999999999999999E-2</v>
      </c>
    </row>
    <row r="4" spans="1:13" x14ac:dyDescent="0.25">
      <c r="A4" t="s">
        <v>14</v>
      </c>
      <c r="B4">
        <v>0.13</v>
      </c>
      <c r="C4">
        <v>0.14299999999999999</v>
      </c>
      <c r="D4">
        <v>8.3000000000000004E-2</v>
      </c>
      <c r="E4">
        <v>8.7999999999999995E-2</v>
      </c>
      <c r="F4">
        <v>0.151</v>
      </c>
      <c r="G4">
        <v>0.13300000000000001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0.14299999999999999</v>
      </c>
      <c r="C5">
        <v>0.152</v>
      </c>
      <c r="D5">
        <v>8.5000000000000006E-2</v>
      </c>
      <c r="E5">
        <v>0.08</v>
      </c>
      <c r="F5">
        <v>0.106</v>
      </c>
      <c r="G5">
        <v>0.111</v>
      </c>
      <c r="H5">
        <v>8.1000000000000003E-2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25">
      <c r="A6" t="s">
        <v>16</v>
      </c>
      <c r="B6">
        <v>0.17899999999999999</v>
      </c>
      <c r="C6">
        <v>0.19400000000000001</v>
      </c>
      <c r="D6">
        <v>8.4000000000000005E-2</v>
      </c>
      <c r="E6">
        <v>9.1999999999999998E-2</v>
      </c>
      <c r="F6">
        <v>0.124</v>
      </c>
      <c r="G6">
        <v>0.216</v>
      </c>
      <c r="H6">
        <v>7.0999999999999994E-2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25">
      <c r="A7" t="s">
        <v>17</v>
      </c>
      <c r="B7">
        <v>0.13600000000000001</v>
      </c>
      <c r="C7">
        <v>0.15</v>
      </c>
      <c r="D7">
        <v>8.2000000000000003E-2</v>
      </c>
      <c r="E7">
        <v>9.6000000000000002E-2</v>
      </c>
      <c r="F7">
        <v>0.123</v>
      </c>
      <c r="G7">
        <v>0.11799999999999999</v>
      </c>
      <c r="H7">
        <v>0.107</v>
      </c>
      <c r="I7">
        <v>7.8E-2</v>
      </c>
      <c r="J7">
        <v>7.0000000000000007E-2</v>
      </c>
      <c r="K7">
        <v>7.0000000000000007E-2</v>
      </c>
      <c r="L7">
        <v>0.66800000000000004</v>
      </c>
      <c r="M7">
        <v>9.6000000000000002E-2</v>
      </c>
    </row>
    <row r="8" spans="1:13" x14ac:dyDescent="0.25">
      <c r="A8" t="s">
        <v>18</v>
      </c>
      <c r="B8">
        <v>0.122</v>
      </c>
      <c r="C8">
        <v>9.5000000000000001E-2</v>
      </c>
      <c r="D8">
        <v>7.5999999999999998E-2</v>
      </c>
      <c r="E8">
        <v>0.08</v>
      </c>
      <c r="F8">
        <v>0.105</v>
      </c>
      <c r="G8">
        <v>8.3000000000000004E-2</v>
      </c>
      <c r="H8">
        <v>0.08</v>
      </c>
      <c r="I8">
        <v>5.6000000000000001E-2</v>
      </c>
      <c r="J8">
        <v>4.9000000000000002E-2</v>
      </c>
      <c r="K8">
        <v>6.2E-2</v>
      </c>
      <c r="L8">
        <v>0.373</v>
      </c>
      <c r="M8">
        <v>9.7000000000000003E-2</v>
      </c>
    </row>
    <row r="9" spans="1:13" x14ac:dyDescent="0.25">
      <c r="A9" t="s">
        <v>19</v>
      </c>
      <c r="B9">
        <v>0.154</v>
      </c>
      <c r="C9">
        <v>0.17</v>
      </c>
      <c r="D9">
        <v>0.105</v>
      </c>
      <c r="E9">
        <v>0.109</v>
      </c>
      <c r="F9">
        <v>0.12</v>
      </c>
      <c r="G9">
        <v>0.108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25">
      <c r="A10" t="s">
        <v>20</v>
      </c>
      <c r="B10">
        <v>0.222</v>
      </c>
      <c r="C10">
        <v>0.22600000000000001</v>
      </c>
      <c r="D10">
        <v>0.10299999999999999</v>
      </c>
      <c r="E10">
        <v>0.11600000000000001</v>
      </c>
      <c r="F10">
        <v>0.25800000000000001</v>
      </c>
      <c r="G10">
        <v>0.16200000000000001</v>
      </c>
      <c r="H10">
        <v>9.9000000000000005E-2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3.0000000000000027E-3</v>
      </c>
      <c r="C15" s="3">
        <f xml:space="preserve"> C3 - '+0 seg'!$C$3</f>
        <v>4.9999999999999906E-3</v>
      </c>
      <c r="D15" s="3">
        <f xml:space="preserve"> D3 - '+0 seg'!$D$3</f>
        <v>9.000000000000008E-3</v>
      </c>
      <c r="E15" s="3">
        <f xml:space="preserve"> E3 - '+0 seg'!$E$3</f>
        <v>2.0000000000000018E-3</v>
      </c>
      <c r="F15" s="3">
        <f xml:space="preserve"> F3 - '+0 seg'!$F$3</f>
        <v>5.0000000000000044E-3</v>
      </c>
      <c r="G15" s="3">
        <f xml:space="preserve"> G3 - '+0 seg'!$G$3</f>
        <v>9.999999999999995E-3</v>
      </c>
      <c r="H15" s="3">
        <f xml:space="preserve"> H3 - '+0 seg'!$H$3</f>
        <v>2.0000000000000018E-3</v>
      </c>
      <c r="I15" s="3">
        <f xml:space="preserve"> I3 - '+0 seg'!$I$3</f>
        <v>4.0000000000000036E-3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2.0000000000000018E-3</v>
      </c>
      <c r="C16" s="3">
        <f xml:space="preserve"> C4 - '+0 seg'!$C$4</f>
        <v>2.9999999999999749E-3</v>
      </c>
      <c r="D16" s="3">
        <f xml:space="preserve"> D4 - '+0 seg'!$D$4</f>
        <v>7.0000000000000062E-3</v>
      </c>
      <c r="E16" s="3">
        <f xml:space="preserve"> E4 - '+0 seg'!$E$4</f>
        <v>3.9999999999999897E-3</v>
      </c>
      <c r="F16" s="3">
        <f xml:space="preserve"> F4 - '+0 seg'!$F$4</f>
        <v>5.0000000000000044E-3</v>
      </c>
      <c r="G16" s="3">
        <f xml:space="preserve"> G4 - '+0 seg'!$G$4</f>
        <v>6.0000000000000053E-3</v>
      </c>
      <c r="H16" s="3">
        <f xml:space="preserve"> H4 - '+0 seg'!$H$4</f>
        <v>6.0000000000000053E-3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2.0000000000000018E-3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2.0000000000000018E-3</v>
      </c>
      <c r="C17" s="3">
        <f xml:space="preserve"> C5 - '+0 seg'!$C$5</f>
        <v>1.0000000000000009E-2</v>
      </c>
      <c r="D17" s="3">
        <f xml:space="preserve"> D5 - '+0 seg'!$D$5</f>
        <v>5.0000000000000044E-3</v>
      </c>
      <c r="E17" s="3">
        <f xml:space="preserve"> E5 - '+0 seg'!$E$5</f>
        <v>0</v>
      </c>
      <c r="F17" s="3">
        <f xml:space="preserve"> F5 - '+0 seg'!$F$5</f>
        <v>4.9999999999999906E-3</v>
      </c>
      <c r="G17" s="3">
        <f xml:space="preserve"> G5 - '+0 seg'!$G$5</f>
        <v>-5.0000000000000044E-3</v>
      </c>
      <c r="H17" s="3">
        <f xml:space="preserve"> H5 - '+0 seg'!$H$5</f>
        <v>6.0000000000000053E-3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7.9999999999999793E-3</v>
      </c>
      <c r="C18" s="3">
        <f xml:space="preserve"> C6 - '+0 seg'!$C$6</f>
        <v>1.0000000000000009E-2</v>
      </c>
      <c r="D18" s="3">
        <f xml:space="preserve"> D6 - '+0 seg'!$D$6</f>
        <v>2.0000000000000018E-3</v>
      </c>
      <c r="E18" s="3">
        <f xml:space="preserve"> E6 - '+0 seg'!$E$6</f>
        <v>1.0000000000000009E-3</v>
      </c>
      <c r="F18" s="3">
        <f xml:space="preserve"> F6 - '+0 seg'!$F$6</f>
        <v>6.9999999999999923E-3</v>
      </c>
      <c r="G18" s="3">
        <f xml:space="preserve"> G6 - '+0 seg'!$G$6</f>
        <v>1.6999999999999987E-2</v>
      </c>
      <c r="H18" s="3">
        <f xml:space="preserve"> H6 - '+0 seg'!$H$6</f>
        <v>2.9999999999999888E-3</v>
      </c>
      <c r="I18" s="3">
        <f xml:space="preserve"> I6 - '+0 seg'!$I$6</f>
        <v>2.0000000000000018E-3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1.0000000000000009E-3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-1.0000000000000009E-3</v>
      </c>
      <c r="D19" s="3">
        <f xml:space="preserve"> D7 - '+0 seg'!$D$7</f>
        <v>2.0000000000000018E-3</v>
      </c>
      <c r="E19" s="3">
        <f xml:space="preserve"> E7 - '+0 seg'!$E$7</f>
        <v>8.0000000000000071E-3</v>
      </c>
      <c r="F19" s="3">
        <f xml:space="preserve"> F7 - '+0 seg'!$F$7</f>
        <v>1.0999999999999996E-2</v>
      </c>
      <c r="G19" s="3">
        <f xml:space="preserve"> G7 - '+0 seg'!$G$7</f>
        <v>1.4999999999999999E-2</v>
      </c>
      <c r="H19" s="3">
        <f xml:space="preserve"> H7 - '+0 seg'!$H$7</f>
        <v>1.2999999999999998E-2</v>
      </c>
      <c r="I19" s="3">
        <f xml:space="preserve"> I7 - '+0 seg'!$I$7</f>
        <v>-6.0000000000000053E-3</v>
      </c>
      <c r="J19" s="3">
        <f xml:space="preserve"> J7 - '+0 seg'!$J$7</f>
        <v>1.0000000000000009E-3</v>
      </c>
      <c r="K19" s="3">
        <f xml:space="preserve"> K7 - '+0 seg'!$K$7</f>
        <v>1.0000000000000009E-3</v>
      </c>
      <c r="L19" s="3">
        <f xml:space="preserve"> L7 - '+0 seg'!$L$7</f>
        <v>2.5000000000000022E-2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5.9999999999999915E-3</v>
      </c>
      <c r="C20" s="3">
        <f xml:space="preserve"> C8 - '+0 seg'!$C$8</f>
        <v>4.0000000000000036E-3</v>
      </c>
      <c r="D20" s="3">
        <f xml:space="preserve"> D8 - '+0 seg'!$D$8</f>
        <v>-3.0000000000000027E-3</v>
      </c>
      <c r="E20" s="3">
        <f xml:space="preserve"> E8 - '+0 seg'!$E$8</f>
        <v>5.0000000000000044E-3</v>
      </c>
      <c r="F20" s="3">
        <f xml:space="preserve"> F8 - '+0 seg'!$F$8</f>
        <v>8.9999999999999941E-3</v>
      </c>
      <c r="G20" s="3">
        <f xml:space="preserve"> G8 - '+0 seg'!$G$8</f>
        <v>4.0000000000000036E-3</v>
      </c>
      <c r="H20" s="3">
        <f xml:space="preserve"> H8 - '+0 seg'!$H$8</f>
        <v>4.0000000000000036E-3</v>
      </c>
      <c r="I20" s="3">
        <f xml:space="preserve"> I8 - '+0 seg'!$I$8</f>
        <v>-2.9999999999999957E-3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4.0000000000000036E-3</v>
      </c>
      <c r="M20" s="3">
        <f xml:space="preserve"> M8 - '+0 seg'!$M$8</f>
        <v>0</v>
      </c>
    </row>
    <row r="21" spans="1:13" x14ac:dyDescent="0.25">
      <c r="A21" t="s">
        <v>19</v>
      </c>
      <c r="B21" s="3">
        <f xml:space="preserve"> B9 - '+0 seg'!$B$9</f>
        <v>3.0000000000000027E-3</v>
      </c>
      <c r="C21" s="3">
        <f xml:space="preserve"> C9 - '+0 seg'!$C$9</f>
        <v>8.0000000000000071E-3</v>
      </c>
      <c r="D21" s="3">
        <f xml:space="preserve"> D9 - '+0 seg'!$D$9</f>
        <v>4.9999999999999906E-3</v>
      </c>
      <c r="E21" s="3">
        <f xml:space="preserve"> E9 - '+0 seg'!$E$9</f>
        <v>4.0000000000000036E-3</v>
      </c>
      <c r="F21" s="3">
        <f xml:space="preserve"> F9 - '+0 seg'!$F$9</f>
        <v>3.9999999999999897E-3</v>
      </c>
      <c r="G21" s="3">
        <f xml:space="preserve"> G9 - '+0 seg'!$G$9</f>
        <v>9.999999999999995E-3</v>
      </c>
      <c r="H21" s="3">
        <f xml:space="preserve"> H9 - '+0 seg'!$H$9</f>
        <v>0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1.0000000000000009E-3</v>
      </c>
    </row>
    <row r="22" spans="1:13" x14ac:dyDescent="0.25">
      <c r="A22" t="s">
        <v>20</v>
      </c>
      <c r="B22" s="3">
        <f xml:space="preserve"> B10 - '+0 seg'!$B$10</f>
        <v>3.0000000000000027E-3</v>
      </c>
      <c r="C22" s="3">
        <f xml:space="preserve"> C10 - '+0 seg'!$C$10</f>
        <v>2.1000000000000019E-2</v>
      </c>
      <c r="D22" s="3">
        <f xml:space="preserve"> D10 - '+0 seg'!$D$10</f>
        <v>-2.0000000000000018E-3</v>
      </c>
      <c r="E22" s="3">
        <f xml:space="preserve"> E10 - '+0 seg'!$E$10</f>
        <v>4.0000000000000036E-3</v>
      </c>
      <c r="F22" s="3">
        <f xml:space="preserve"> F10 - '+0 seg'!$F$10</f>
        <v>3.2000000000000001E-2</v>
      </c>
      <c r="G22" s="3">
        <f xml:space="preserve"> G10 - '+0 seg'!$G$10</f>
        <v>3.0000000000000027E-3</v>
      </c>
      <c r="H22" s="3">
        <f xml:space="preserve"> H10 - '+0 seg'!$H$10</f>
        <v>2.0000000000000018E-3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3.9999999999999966E-3</v>
      </c>
      <c r="C26" s="3">
        <f>STDEV(B15:C15)</f>
        <v>1.4142135623730866E-3</v>
      </c>
      <c r="D26" s="3">
        <f t="shared" ref="D26:H33" si="0">AVERAGE(D15:E15)</f>
        <v>5.5000000000000049E-3</v>
      </c>
      <c r="E26" s="3">
        <f>STDEV(D15:E15)</f>
        <v>4.949747468305836E-3</v>
      </c>
      <c r="F26" s="3">
        <f t="shared" si="0"/>
        <v>7.4999999999999997E-3</v>
      </c>
      <c r="G26" s="3">
        <f>STDEV(F15:G15)</f>
        <v>3.5355339059327307E-3</v>
      </c>
      <c r="H26" s="3">
        <f t="shared" si="0"/>
        <v>3.0000000000000027E-3</v>
      </c>
      <c r="I26" s="3">
        <f>STDEV(H15:I15)</f>
        <v>1.4142135623730963E-3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-9.9999999999999742E-4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2.4999999999999883E-3</v>
      </c>
      <c r="C27" s="3">
        <f t="shared" ref="C27:E33" si="2">STDEV(B16:C16)</f>
        <v>7.0710678118652854E-4</v>
      </c>
      <c r="D27" s="3">
        <f t="shared" si="0"/>
        <v>5.4999999999999979E-3</v>
      </c>
      <c r="E27" s="3">
        <f t="shared" si="2"/>
        <v>2.1213203435596541E-3</v>
      </c>
      <c r="F27" s="3">
        <f t="shared" si="0"/>
        <v>5.5000000000000049E-3</v>
      </c>
      <c r="G27" s="3">
        <f t="shared" ref="G27:G33" si="3">STDEV(F16:G16)</f>
        <v>7.0710678118654816E-4</v>
      </c>
      <c r="H27" s="3">
        <f t="shared" si="0"/>
        <v>4.500000000000004E-3</v>
      </c>
      <c r="I27" s="3">
        <f t="shared" ref="I27:I33" si="4">STDEV(H16:I16)</f>
        <v>2.1213203435596446E-3</v>
      </c>
      <c r="L27" s="3"/>
      <c r="M27" s="3"/>
    </row>
    <row r="28" spans="1:13" x14ac:dyDescent="0.25">
      <c r="A28" t="s">
        <v>15</v>
      </c>
      <c r="B28" s="3">
        <f t="shared" si="1"/>
        <v>6.0000000000000053E-3</v>
      </c>
      <c r="C28" s="3">
        <f t="shared" si="2"/>
        <v>5.6568542494923853E-3</v>
      </c>
      <c r="D28" s="3">
        <f t="shared" si="0"/>
        <v>2.5000000000000022E-3</v>
      </c>
      <c r="E28" s="3">
        <f t="shared" si="2"/>
        <v>3.5355339059327407E-3</v>
      </c>
      <c r="F28" s="3">
        <f t="shared" si="0"/>
        <v>-6.9388939039072284E-18</v>
      </c>
      <c r="G28" s="3">
        <f t="shared" si="3"/>
        <v>7.0710678118654719E-3</v>
      </c>
      <c r="H28" s="3">
        <f t="shared" si="0"/>
        <v>-5.0000000000000044E-4</v>
      </c>
      <c r="I28" s="3">
        <f t="shared" si="4"/>
        <v>9.1923881554251251E-3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8.9999999999999941E-3</v>
      </c>
      <c r="C29" s="3">
        <f t="shared" si="2"/>
        <v>1.4142135623731161E-3</v>
      </c>
      <c r="D29" s="3">
        <f t="shared" si="0"/>
        <v>1.5000000000000013E-3</v>
      </c>
      <c r="E29" s="3">
        <f t="shared" si="2"/>
        <v>7.0710678118654816E-4</v>
      </c>
      <c r="F29" s="3">
        <f t="shared" si="0"/>
        <v>1.199999999999999E-2</v>
      </c>
      <c r="G29" s="3">
        <f t="shared" si="3"/>
        <v>7.0710678118654693E-3</v>
      </c>
      <c r="H29" s="3">
        <f t="shared" si="0"/>
        <v>2.4999999999999953E-3</v>
      </c>
      <c r="I29" s="3">
        <f t="shared" si="4"/>
        <v>7.0710678118653841E-4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5.0000000000000044E-4</v>
      </c>
      <c r="C30" s="3">
        <f t="shared" si="2"/>
        <v>2.1213203435596446E-3</v>
      </c>
      <c r="D30" s="3">
        <f t="shared" si="0"/>
        <v>5.0000000000000044E-3</v>
      </c>
      <c r="E30" s="3">
        <f t="shared" si="2"/>
        <v>4.2426406871192892E-3</v>
      </c>
      <c r="F30" s="3">
        <f t="shared" si="0"/>
        <v>1.2999999999999998E-2</v>
      </c>
      <c r="G30" s="3">
        <f t="shared" si="3"/>
        <v>2.8284271247461927E-3</v>
      </c>
      <c r="H30" s="3">
        <f t="shared" si="0"/>
        <v>3.4999999999999962E-3</v>
      </c>
      <c r="I30" s="3">
        <f t="shared" si="4"/>
        <v>1.3435028842544406E-2</v>
      </c>
      <c r="J30" s="3">
        <f>AVERAGE(J19:J20)</f>
        <v>-4.9999999999999697E-4</v>
      </c>
      <c r="K30" s="3">
        <f>STDEV(J19:J20)</f>
        <v>2.1213203435596394E-3</v>
      </c>
      <c r="L30" s="3">
        <f>AVERAGE(K19:K20)</f>
        <v>5.0000000000000044E-4</v>
      </c>
      <c r="M30" s="3">
        <f>STDEV(K19:K20)</f>
        <v>7.0710678118654816E-4</v>
      </c>
    </row>
    <row r="31" spans="1:13" x14ac:dyDescent="0.25">
      <c r="A31" t="s">
        <v>18</v>
      </c>
      <c r="B31" s="3">
        <f t="shared" si="1"/>
        <v>4.9999999999999975E-3</v>
      </c>
      <c r="C31" s="3">
        <f t="shared" si="2"/>
        <v>1.4142135623730866E-3</v>
      </c>
      <c r="D31" s="3">
        <f t="shared" si="0"/>
        <v>1.0000000000000009E-3</v>
      </c>
      <c r="E31" s="3">
        <f t="shared" si="2"/>
        <v>5.6568542494923853E-3</v>
      </c>
      <c r="F31" s="3">
        <f t="shared" si="0"/>
        <v>6.4999999999999988E-3</v>
      </c>
      <c r="G31" s="3">
        <f t="shared" si="3"/>
        <v>3.5355339059327307E-3</v>
      </c>
      <c r="H31" s="3">
        <f t="shared" si="0"/>
        <v>5.0000000000000391E-4</v>
      </c>
      <c r="I31" s="3">
        <f t="shared" si="4"/>
        <v>4.9497474683058325E-3</v>
      </c>
      <c r="L31" s="3"/>
      <c r="M31" s="3"/>
    </row>
    <row r="32" spans="1:13" x14ac:dyDescent="0.25">
      <c r="A32" t="s">
        <v>19</v>
      </c>
      <c r="B32" s="3">
        <f t="shared" si="1"/>
        <v>5.5000000000000049E-3</v>
      </c>
      <c r="C32" s="3">
        <f t="shared" si="2"/>
        <v>3.5355339059327411E-3</v>
      </c>
      <c r="D32" s="3">
        <f t="shared" si="0"/>
        <v>4.4999999999999971E-3</v>
      </c>
      <c r="E32" s="3">
        <f t="shared" si="2"/>
        <v>7.0710678118653841E-4</v>
      </c>
      <c r="F32" s="3">
        <f t="shared" si="0"/>
        <v>6.9999999999999923E-3</v>
      </c>
      <c r="G32" s="3">
        <f t="shared" si="3"/>
        <v>4.2426406871192892E-3</v>
      </c>
      <c r="H32" s="3">
        <f t="shared" si="0"/>
        <v>0</v>
      </c>
      <c r="I32" s="3">
        <f t="shared" si="4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1.2000000000000011E-2</v>
      </c>
      <c r="C33" s="3">
        <f t="shared" si="2"/>
        <v>1.2727922061357868E-2</v>
      </c>
      <c r="D33" s="3">
        <f t="shared" si="0"/>
        <v>1.0000000000000009E-3</v>
      </c>
      <c r="E33" s="3">
        <f t="shared" si="2"/>
        <v>4.2426406871192892E-3</v>
      </c>
      <c r="F33" s="3">
        <f t="shared" si="0"/>
        <v>1.7500000000000002E-2</v>
      </c>
      <c r="G33" s="3">
        <f t="shared" si="3"/>
        <v>2.0506096654409878E-2</v>
      </c>
      <c r="H33" s="3">
        <f t="shared" si="0"/>
        <v>2.0000000000000018E-3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0.10100000000000001</v>
      </c>
      <c r="C3">
        <v>9.0999999999999998E-2</v>
      </c>
      <c r="D3">
        <v>8.3000000000000004E-2</v>
      </c>
      <c r="E3">
        <v>8.2000000000000003E-2</v>
      </c>
      <c r="F3">
        <v>0.152</v>
      </c>
      <c r="G3">
        <v>0.126</v>
      </c>
      <c r="H3">
        <v>8.5000000000000006E-2</v>
      </c>
      <c r="I3">
        <v>6.5000000000000002E-2</v>
      </c>
      <c r="J3">
        <v>5.0999999999999997E-2</v>
      </c>
      <c r="K3">
        <v>4.8000000000000001E-2</v>
      </c>
      <c r="L3">
        <v>0.12</v>
      </c>
      <c r="M3">
        <v>9.2999999999999999E-2</v>
      </c>
    </row>
    <row r="4" spans="1:13" x14ac:dyDescent="0.25">
      <c r="A4" t="s">
        <v>14</v>
      </c>
      <c r="B4">
        <v>0.13100000000000001</v>
      </c>
      <c r="C4">
        <v>0.14399999999999999</v>
      </c>
      <c r="D4">
        <v>0.08</v>
      </c>
      <c r="E4">
        <v>0.09</v>
      </c>
      <c r="F4">
        <v>0.152</v>
      </c>
      <c r="G4">
        <v>0.13400000000000001</v>
      </c>
      <c r="H4">
        <v>9.8000000000000004E-2</v>
      </c>
      <c r="I4">
        <v>9.5000000000000001E-2</v>
      </c>
      <c r="J4">
        <v>6.0999999999999999E-2</v>
      </c>
      <c r="K4">
        <v>5.5E-2</v>
      </c>
      <c r="L4">
        <v>9.2999999999999999E-2</v>
      </c>
      <c r="M4">
        <v>0.111</v>
      </c>
    </row>
    <row r="5" spans="1:13" x14ac:dyDescent="0.25">
      <c r="A5" t="s">
        <v>15</v>
      </c>
      <c r="B5">
        <v>0.14399999999999999</v>
      </c>
      <c r="C5">
        <v>0.152</v>
      </c>
      <c r="D5">
        <v>8.5000000000000006E-2</v>
      </c>
      <c r="E5">
        <v>7.9000000000000001E-2</v>
      </c>
      <c r="F5">
        <v>0.107</v>
      </c>
      <c r="G5">
        <v>0.111</v>
      </c>
      <c r="H5">
        <v>8.1000000000000003E-2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25">
      <c r="A6" t="s">
        <v>16</v>
      </c>
      <c r="B6">
        <v>0.17899999999999999</v>
      </c>
      <c r="C6">
        <v>0.19600000000000001</v>
      </c>
      <c r="D6">
        <v>8.4000000000000005E-2</v>
      </c>
      <c r="E6">
        <v>9.1999999999999998E-2</v>
      </c>
      <c r="F6">
        <v>0.125</v>
      </c>
      <c r="G6">
        <v>0.218</v>
      </c>
      <c r="H6">
        <v>7.0999999999999994E-2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0.13600000000000001</v>
      </c>
      <c r="C7">
        <v>0.14699999999999999</v>
      </c>
      <c r="D7">
        <v>8.2000000000000003E-2</v>
      </c>
      <c r="E7">
        <v>9.5000000000000001E-2</v>
      </c>
      <c r="F7">
        <v>0.125</v>
      </c>
      <c r="G7">
        <v>0.11899999999999999</v>
      </c>
      <c r="H7">
        <v>0.108</v>
      </c>
      <c r="I7">
        <v>7.6999999999999999E-2</v>
      </c>
      <c r="J7">
        <v>6.9000000000000006E-2</v>
      </c>
      <c r="K7">
        <v>7.0000000000000007E-2</v>
      </c>
      <c r="L7">
        <v>0.65800000000000003</v>
      </c>
      <c r="M7">
        <v>9.6000000000000002E-2</v>
      </c>
    </row>
    <row r="8" spans="1:13" x14ac:dyDescent="0.25">
      <c r="A8" t="s">
        <v>18</v>
      </c>
      <c r="B8">
        <v>0.122</v>
      </c>
      <c r="C8">
        <v>9.5000000000000001E-2</v>
      </c>
      <c r="D8">
        <v>7.5999999999999998E-2</v>
      </c>
      <c r="E8">
        <v>0.08</v>
      </c>
      <c r="F8">
        <v>0.105</v>
      </c>
      <c r="G8">
        <v>8.4000000000000005E-2</v>
      </c>
      <c r="H8">
        <v>7.9000000000000001E-2</v>
      </c>
      <c r="I8">
        <v>5.6000000000000001E-2</v>
      </c>
      <c r="J8">
        <v>4.9000000000000002E-2</v>
      </c>
      <c r="K8">
        <v>6.2E-2</v>
      </c>
      <c r="L8">
        <v>0.372</v>
      </c>
      <c r="M8">
        <v>9.8000000000000004E-2</v>
      </c>
    </row>
    <row r="9" spans="1:13" x14ac:dyDescent="0.25">
      <c r="A9" t="s">
        <v>19</v>
      </c>
      <c r="B9">
        <v>0.155</v>
      </c>
      <c r="C9">
        <v>0.17</v>
      </c>
      <c r="D9">
        <v>0.105</v>
      </c>
      <c r="E9">
        <v>0.109</v>
      </c>
      <c r="F9">
        <v>0.12</v>
      </c>
      <c r="G9">
        <v>0.109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25">
      <c r="A10" t="s">
        <v>20</v>
      </c>
      <c r="B10">
        <v>0.22700000000000001</v>
      </c>
      <c r="C10">
        <v>0.22600000000000001</v>
      </c>
      <c r="D10">
        <v>0.10299999999999999</v>
      </c>
      <c r="E10">
        <v>0.11600000000000001</v>
      </c>
      <c r="F10">
        <v>0.25900000000000001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3.0000000000000027E-3</v>
      </c>
      <c r="C15" s="3">
        <f xml:space="preserve"> C3 - '+0 seg'!$C$3</f>
        <v>5.9999999999999915E-3</v>
      </c>
      <c r="D15" s="3">
        <f xml:space="preserve"> D3 - '+0 seg'!$D$3</f>
        <v>1.0000000000000009E-2</v>
      </c>
      <c r="E15" s="3">
        <f xml:space="preserve"> E3 - '+0 seg'!$E$3</f>
        <v>-4.9999999999999906E-3</v>
      </c>
      <c r="F15" s="3">
        <f xml:space="preserve"> F3 - '+0 seg'!$F$3</f>
        <v>5.0000000000000044E-3</v>
      </c>
      <c r="G15" s="3">
        <f xml:space="preserve"> G3 - '+0 seg'!$G$3</f>
        <v>1.0999999999999996E-2</v>
      </c>
      <c r="H15" s="3">
        <f xml:space="preserve"> H3 - '+0 seg'!$H$3</f>
        <v>2.0000000000000018E-3</v>
      </c>
      <c r="I15" s="3">
        <f xml:space="preserve"> I3 - '+0 seg'!$I$3</f>
        <v>4.0000000000000036E-3</v>
      </c>
      <c r="J15" s="3">
        <f xml:space="preserve"> J3 - '+0 seg'!$J$3</f>
        <v>0</v>
      </c>
      <c r="K15" s="3">
        <f xml:space="preserve"> K3 - '+0 seg'!$K$3</f>
        <v>-3.9999999999999966E-3</v>
      </c>
      <c r="L15" s="3">
        <f xml:space="preserve"> L3 - '+0 seg'!$L$3</f>
        <v>0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3.0000000000000027E-3</v>
      </c>
      <c r="C16" s="3">
        <f xml:space="preserve"> C4 - '+0 seg'!$C$4</f>
        <v>3.9999999999999758E-3</v>
      </c>
      <c r="D16" s="3">
        <f xml:space="preserve"> D4 - '+0 seg'!$D$4</f>
        <v>4.0000000000000036E-3</v>
      </c>
      <c r="E16" s="3">
        <f xml:space="preserve"> E4 - '+0 seg'!$E$4</f>
        <v>5.9999999999999915E-3</v>
      </c>
      <c r="F16" s="3">
        <f xml:space="preserve"> F4 - '+0 seg'!$F$4</f>
        <v>6.0000000000000053E-3</v>
      </c>
      <c r="G16" s="3">
        <f xml:space="preserve"> G4 - '+0 seg'!$G$4</f>
        <v>7.0000000000000062E-3</v>
      </c>
      <c r="H16" s="3">
        <f xml:space="preserve"> H4 - '+0 seg'!$H$4</f>
        <v>7.0000000000000062E-3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3.0000000000000027E-3</v>
      </c>
      <c r="L16" s="3">
        <f xml:space="preserve"> L4 - '+0 seg'!$L$4</f>
        <v>-1.0000000000000009E-3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3.0000000000000027E-3</v>
      </c>
      <c r="C17" s="3">
        <f xml:space="preserve"> C5 - '+0 seg'!$C$5</f>
        <v>1.0000000000000009E-2</v>
      </c>
      <c r="D17" s="3">
        <f xml:space="preserve"> D5 - '+0 seg'!$D$5</f>
        <v>5.0000000000000044E-3</v>
      </c>
      <c r="E17" s="3">
        <f xml:space="preserve"> E5 - '+0 seg'!$E$5</f>
        <v>-1.0000000000000009E-3</v>
      </c>
      <c r="F17" s="3">
        <f xml:space="preserve"> F5 - '+0 seg'!$F$5</f>
        <v>5.9999999999999915E-3</v>
      </c>
      <c r="G17" s="3">
        <f xml:space="preserve"> G5 - '+0 seg'!$G$5</f>
        <v>-5.0000000000000044E-3</v>
      </c>
      <c r="H17" s="3">
        <f xml:space="preserve"> H5 - '+0 seg'!$H$5</f>
        <v>6.0000000000000053E-3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7.9999999999999793E-3</v>
      </c>
      <c r="C18" s="3">
        <f xml:space="preserve"> C6 - '+0 seg'!$C$6</f>
        <v>1.2000000000000011E-2</v>
      </c>
      <c r="D18" s="3">
        <f xml:space="preserve"> D6 - '+0 seg'!$D$6</f>
        <v>2.0000000000000018E-3</v>
      </c>
      <c r="E18" s="3">
        <f xml:space="preserve"> E6 - '+0 seg'!$E$6</f>
        <v>1.0000000000000009E-3</v>
      </c>
      <c r="F18" s="3">
        <f xml:space="preserve"> F6 - '+0 seg'!$F$6</f>
        <v>7.9999999999999932E-3</v>
      </c>
      <c r="G18" s="3">
        <f xml:space="preserve"> G6 - '+0 seg'!$G$6</f>
        <v>1.8999999999999989E-2</v>
      </c>
      <c r="H18" s="3">
        <f xml:space="preserve"> H6 - '+0 seg'!$H$6</f>
        <v>2.9999999999999888E-3</v>
      </c>
      <c r="I18" s="3">
        <f xml:space="preserve"> I6 - '+0 seg'!$I$6</f>
        <v>2.0000000000000018E-3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-4.0000000000000036E-3</v>
      </c>
      <c r="D19" s="3">
        <f xml:space="preserve"> D7 - '+0 seg'!$D$7</f>
        <v>2.0000000000000018E-3</v>
      </c>
      <c r="E19" s="3">
        <f xml:space="preserve"> E7 - '+0 seg'!$E$7</f>
        <v>7.0000000000000062E-3</v>
      </c>
      <c r="F19" s="3">
        <f xml:space="preserve"> F7 - '+0 seg'!$F$7</f>
        <v>1.2999999999999998E-2</v>
      </c>
      <c r="G19" s="3">
        <f xml:space="preserve"> G7 - '+0 seg'!$G$7</f>
        <v>1.6E-2</v>
      </c>
      <c r="H19" s="3">
        <f xml:space="preserve"> H7 - '+0 seg'!$H$7</f>
        <v>1.3999999999999999E-2</v>
      </c>
      <c r="I19" s="3">
        <f xml:space="preserve"> I7 - '+0 seg'!$I$7</f>
        <v>-7.0000000000000062E-3</v>
      </c>
      <c r="J19" s="3">
        <f xml:space="preserve"> J7 - '+0 seg'!$J$7</f>
        <v>0</v>
      </c>
      <c r="K19" s="3">
        <f xml:space="preserve"> K7 - '+0 seg'!$K$7</f>
        <v>1.0000000000000009E-3</v>
      </c>
      <c r="L19" s="3">
        <f xml:space="preserve"> L7 - '+0 seg'!$L$7</f>
        <v>1.5000000000000013E-2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5.9999999999999915E-3</v>
      </c>
      <c r="C20" s="3">
        <f xml:space="preserve"> C8 - '+0 seg'!$C$8</f>
        <v>4.0000000000000036E-3</v>
      </c>
      <c r="D20" s="3">
        <f xml:space="preserve"> D8 - '+0 seg'!$D$8</f>
        <v>-3.0000000000000027E-3</v>
      </c>
      <c r="E20" s="3">
        <f xml:space="preserve"> E8 - '+0 seg'!$E$8</f>
        <v>5.0000000000000044E-3</v>
      </c>
      <c r="F20" s="3">
        <f xml:space="preserve"> F8 - '+0 seg'!$F$8</f>
        <v>8.9999999999999941E-3</v>
      </c>
      <c r="G20" s="3">
        <f xml:space="preserve"> G8 - '+0 seg'!$G$8</f>
        <v>5.0000000000000044E-3</v>
      </c>
      <c r="H20" s="3">
        <f xml:space="preserve"> H8 - '+0 seg'!$H$8</f>
        <v>3.0000000000000027E-3</v>
      </c>
      <c r="I20" s="3">
        <f xml:space="preserve"> I8 - '+0 seg'!$I$8</f>
        <v>-2.9999999999999957E-3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3.0000000000000027E-3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4.0000000000000036E-3</v>
      </c>
      <c r="C21" s="3">
        <f xml:space="preserve"> C9 - '+0 seg'!$C$9</f>
        <v>8.0000000000000071E-3</v>
      </c>
      <c r="D21" s="3">
        <f xml:space="preserve"> D9 - '+0 seg'!$D$9</f>
        <v>4.9999999999999906E-3</v>
      </c>
      <c r="E21" s="3">
        <f xml:space="preserve"> E9 - '+0 seg'!$E$9</f>
        <v>4.0000000000000036E-3</v>
      </c>
      <c r="F21" s="3">
        <f xml:space="preserve"> F9 - '+0 seg'!$F$9</f>
        <v>3.9999999999999897E-3</v>
      </c>
      <c r="G21" s="3">
        <f xml:space="preserve"> G9 - '+0 seg'!$G$9</f>
        <v>1.0999999999999996E-2</v>
      </c>
      <c r="H21" s="3">
        <f xml:space="preserve"> H9 - '+0 seg'!$H$9</f>
        <v>0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1.0000000000000009E-3</v>
      </c>
    </row>
    <row r="22" spans="1:13" x14ac:dyDescent="0.25">
      <c r="A22" t="s">
        <v>20</v>
      </c>
      <c r="B22" s="3">
        <f xml:space="preserve"> B10 - '+0 seg'!$B$10</f>
        <v>8.0000000000000071E-3</v>
      </c>
      <c r="C22" s="3">
        <f xml:space="preserve"> C10 - '+0 seg'!$C$10</f>
        <v>2.1000000000000019E-2</v>
      </c>
      <c r="D22" s="3">
        <f xml:space="preserve"> D10 - '+0 seg'!$D$10</f>
        <v>-2.0000000000000018E-3</v>
      </c>
      <c r="E22" s="3">
        <f xml:space="preserve"> E10 - '+0 seg'!$E$10</f>
        <v>4.0000000000000036E-3</v>
      </c>
      <c r="F22" s="3">
        <f xml:space="preserve"> F10 - '+0 seg'!$F$10</f>
        <v>3.3000000000000002E-2</v>
      </c>
      <c r="G22" s="3">
        <f xml:space="preserve"> G10 - '+0 seg'!$G$10</f>
        <v>2.0000000000000018E-3</v>
      </c>
      <c r="H22" s="3">
        <f xml:space="preserve"> H10 - '+0 seg'!$H$10</f>
        <v>3.0000000000000027E-3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4.4999999999999971E-3</v>
      </c>
      <c r="C26" s="3">
        <f>STDEV(B15:C15)</f>
        <v>2.1213203435596346E-3</v>
      </c>
      <c r="D26" s="3">
        <f t="shared" ref="D26:H33" si="0">AVERAGE(D15:E15)</f>
        <v>2.5000000000000092E-3</v>
      </c>
      <c r="E26" s="3">
        <f>STDEV(D15:E15)</f>
        <v>1.0606601717798213E-2</v>
      </c>
      <c r="F26" s="3">
        <f t="shared" si="0"/>
        <v>8.0000000000000002E-3</v>
      </c>
      <c r="G26" s="3">
        <f>STDEV(F15:G15)</f>
        <v>4.2426406871192788E-3</v>
      </c>
      <c r="H26" s="3">
        <f t="shared" si="0"/>
        <v>3.0000000000000027E-3</v>
      </c>
      <c r="I26" s="3">
        <f>STDEV(H15:I15)</f>
        <v>1.4142135623730963E-3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-4.9999999999999697E-4</v>
      </c>
      <c r="M26" s="3">
        <f>STDEV(K15:K16)</f>
        <v>4.9497474683058316E-3</v>
      </c>
    </row>
    <row r="27" spans="1:13" x14ac:dyDescent="0.25">
      <c r="A27" t="s">
        <v>14</v>
      </c>
      <c r="B27" s="3">
        <f t="shared" ref="B27:B33" si="1">AVERAGE(B16:C16)</f>
        <v>3.4999999999999892E-3</v>
      </c>
      <c r="C27" s="3">
        <f t="shared" ref="C27:E33" si="2">STDEV(B16:C16)</f>
        <v>7.0710678118652854E-4</v>
      </c>
      <c r="D27" s="3">
        <f t="shared" si="0"/>
        <v>4.9999999999999975E-3</v>
      </c>
      <c r="E27" s="3">
        <f t="shared" si="2"/>
        <v>1.4142135623730866E-3</v>
      </c>
      <c r="F27" s="3">
        <f t="shared" si="0"/>
        <v>6.5000000000000058E-3</v>
      </c>
      <c r="G27" s="3">
        <f t="shared" ref="G27:G33" si="3">STDEV(F16:G16)</f>
        <v>7.0710678118654816E-4</v>
      </c>
      <c r="H27" s="3">
        <f t="shared" si="0"/>
        <v>5.0000000000000044E-3</v>
      </c>
      <c r="I27" s="3">
        <f t="shared" ref="I27:I33" si="4">STDEV(H16:I16)</f>
        <v>2.8284271247461922E-3</v>
      </c>
      <c r="L27" s="3"/>
      <c r="M27" s="3"/>
    </row>
    <row r="28" spans="1:13" x14ac:dyDescent="0.25">
      <c r="A28" t="s">
        <v>15</v>
      </c>
      <c r="B28" s="3">
        <f t="shared" si="1"/>
        <v>6.5000000000000058E-3</v>
      </c>
      <c r="C28" s="3">
        <f t="shared" si="2"/>
        <v>4.9497474683058368E-3</v>
      </c>
      <c r="D28" s="3">
        <f t="shared" si="0"/>
        <v>2.0000000000000018E-3</v>
      </c>
      <c r="E28" s="3">
        <f t="shared" si="2"/>
        <v>4.2426406871192892E-3</v>
      </c>
      <c r="F28" s="3">
        <f t="shared" si="0"/>
        <v>4.9999999999999351E-4</v>
      </c>
      <c r="G28" s="3">
        <f t="shared" si="3"/>
        <v>7.7781745930520204E-3</v>
      </c>
      <c r="H28" s="3">
        <f t="shared" si="0"/>
        <v>-5.0000000000000044E-4</v>
      </c>
      <c r="I28" s="3">
        <f t="shared" si="4"/>
        <v>9.1923881554251251E-3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9.999999999999995E-3</v>
      </c>
      <c r="C29" s="3">
        <f t="shared" si="2"/>
        <v>2.8284271247462122E-3</v>
      </c>
      <c r="D29" s="3">
        <f t="shared" si="0"/>
        <v>1.5000000000000013E-3</v>
      </c>
      <c r="E29" s="3">
        <f t="shared" si="2"/>
        <v>7.0710678118654816E-4</v>
      </c>
      <c r="F29" s="3">
        <f t="shared" si="0"/>
        <v>1.3499999999999991E-2</v>
      </c>
      <c r="G29" s="3">
        <f t="shared" si="3"/>
        <v>7.7781745930520195E-3</v>
      </c>
      <c r="H29" s="3">
        <f t="shared" si="0"/>
        <v>2.4999999999999953E-3</v>
      </c>
      <c r="I29" s="3">
        <f t="shared" si="4"/>
        <v>7.0710678118653841E-4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-1.0000000000000009E-3</v>
      </c>
      <c r="C30" s="3">
        <f t="shared" si="2"/>
        <v>4.2426406871192892E-3</v>
      </c>
      <c r="D30" s="3">
        <f t="shared" si="0"/>
        <v>4.500000000000004E-3</v>
      </c>
      <c r="E30" s="3">
        <f t="shared" si="2"/>
        <v>3.5355339059327411E-3</v>
      </c>
      <c r="F30" s="3">
        <f t="shared" si="0"/>
        <v>1.4499999999999999E-2</v>
      </c>
      <c r="G30" s="3">
        <f t="shared" si="3"/>
        <v>2.1213203435596446E-3</v>
      </c>
      <c r="H30" s="3">
        <f t="shared" si="0"/>
        <v>3.4999999999999962E-3</v>
      </c>
      <c r="I30" s="3">
        <f t="shared" si="4"/>
        <v>1.4849242404917501E-2</v>
      </c>
      <c r="J30" s="3">
        <f>AVERAGE(J19:J20)</f>
        <v>-9.9999999999999742E-4</v>
      </c>
      <c r="K30" s="3">
        <f>STDEV(J19:J20)</f>
        <v>1.4142135623730913E-3</v>
      </c>
      <c r="L30" s="3">
        <f>AVERAGE(K19:K20)</f>
        <v>5.0000000000000044E-4</v>
      </c>
      <c r="M30" s="3">
        <f>STDEV(K19:K20)</f>
        <v>7.0710678118654816E-4</v>
      </c>
    </row>
    <row r="31" spans="1:13" x14ac:dyDescent="0.25">
      <c r="A31" t="s">
        <v>18</v>
      </c>
      <c r="B31" s="3">
        <f t="shared" si="1"/>
        <v>4.9999999999999975E-3</v>
      </c>
      <c r="C31" s="3">
        <f t="shared" si="2"/>
        <v>1.4142135623730866E-3</v>
      </c>
      <c r="D31" s="3">
        <f t="shared" si="0"/>
        <v>1.0000000000000009E-3</v>
      </c>
      <c r="E31" s="3">
        <f t="shared" si="2"/>
        <v>5.6568542494923853E-3</v>
      </c>
      <c r="F31" s="3">
        <f t="shared" si="0"/>
        <v>6.9999999999999993E-3</v>
      </c>
      <c r="G31" s="3">
        <f t="shared" si="3"/>
        <v>2.8284271247461835E-3</v>
      </c>
      <c r="H31" s="3">
        <f t="shared" si="0"/>
        <v>3.4694469519536142E-18</v>
      </c>
      <c r="I31" s="3">
        <f t="shared" si="4"/>
        <v>4.242640687119284E-3</v>
      </c>
      <c r="L31" s="3"/>
      <c r="M31" s="3"/>
    </row>
    <row r="32" spans="1:13" x14ac:dyDescent="0.25">
      <c r="A32" t="s">
        <v>19</v>
      </c>
      <c r="B32" s="3">
        <f t="shared" si="1"/>
        <v>6.0000000000000053E-3</v>
      </c>
      <c r="C32" s="3">
        <f t="shared" si="2"/>
        <v>2.8284271247461957E-3</v>
      </c>
      <c r="D32" s="3">
        <f t="shared" si="0"/>
        <v>4.4999999999999971E-3</v>
      </c>
      <c r="E32" s="3">
        <f t="shared" si="2"/>
        <v>7.0710678118653841E-4</v>
      </c>
      <c r="F32" s="3">
        <f t="shared" si="0"/>
        <v>7.4999999999999928E-3</v>
      </c>
      <c r="G32" s="3">
        <f t="shared" si="3"/>
        <v>4.9497474683058377E-3</v>
      </c>
      <c r="H32" s="3">
        <f t="shared" si="0"/>
        <v>0</v>
      </c>
      <c r="I32" s="3">
        <f t="shared" si="4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1.4500000000000013E-2</v>
      </c>
      <c r="C33" s="3">
        <f t="shared" si="2"/>
        <v>9.1923881554251269E-3</v>
      </c>
      <c r="D33" s="3">
        <f t="shared" si="0"/>
        <v>1.0000000000000009E-3</v>
      </c>
      <c r="E33" s="3">
        <f t="shared" si="2"/>
        <v>4.2426406871192892E-3</v>
      </c>
      <c r="F33" s="3">
        <f t="shared" si="0"/>
        <v>1.7500000000000002E-2</v>
      </c>
      <c r="G33" s="3">
        <f t="shared" si="3"/>
        <v>2.1920310216782975E-2</v>
      </c>
      <c r="H33" s="3">
        <f t="shared" si="0"/>
        <v>2.5000000000000022E-3</v>
      </c>
      <c r="I33" s="3">
        <f t="shared" si="4"/>
        <v>7.0710678118654816E-4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0.10299999999999999</v>
      </c>
      <c r="C3">
        <v>9.0999999999999998E-2</v>
      </c>
      <c r="D3">
        <v>8.3000000000000004E-2</v>
      </c>
      <c r="E3">
        <v>9.9000000000000005E-2</v>
      </c>
      <c r="F3">
        <v>0.153</v>
      </c>
      <c r="G3">
        <v>0.126</v>
      </c>
      <c r="H3">
        <v>8.5000000000000006E-2</v>
      </c>
      <c r="I3">
        <v>6.5000000000000002E-2</v>
      </c>
      <c r="J3">
        <v>5.0999999999999997E-2</v>
      </c>
      <c r="K3">
        <v>4.9000000000000002E-2</v>
      </c>
      <c r="L3">
        <v>0.12</v>
      </c>
      <c r="M3">
        <v>9.2999999999999999E-2</v>
      </c>
    </row>
    <row r="4" spans="1:13" x14ac:dyDescent="0.25">
      <c r="A4" t="s">
        <v>14</v>
      </c>
      <c r="B4">
        <v>0.13500000000000001</v>
      </c>
      <c r="C4">
        <v>0.14399999999999999</v>
      </c>
      <c r="D4">
        <v>0.08</v>
      </c>
      <c r="E4">
        <v>0.09</v>
      </c>
      <c r="F4">
        <v>0.152</v>
      </c>
      <c r="G4">
        <v>0.13400000000000001</v>
      </c>
      <c r="H4">
        <v>9.8000000000000004E-2</v>
      </c>
      <c r="I4">
        <v>9.5000000000000001E-2</v>
      </c>
      <c r="J4">
        <v>6.0999999999999999E-2</v>
      </c>
      <c r="K4">
        <v>5.5E-2</v>
      </c>
      <c r="L4">
        <v>9.4E-2</v>
      </c>
      <c r="M4">
        <v>0.111</v>
      </c>
    </row>
    <row r="5" spans="1:13" x14ac:dyDescent="0.25">
      <c r="A5" t="s">
        <v>15</v>
      </c>
      <c r="B5">
        <v>0.14399999999999999</v>
      </c>
      <c r="C5">
        <v>0.153</v>
      </c>
      <c r="D5">
        <v>8.5000000000000006E-2</v>
      </c>
      <c r="E5">
        <v>0.08</v>
      </c>
      <c r="F5">
        <v>0.107</v>
      </c>
      <c r="G5">
        <v>0.111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25">
      <c r="A6" t="s">
        <v>16</v>
      </c>
      <c r="B6">
        <v>0.18</v>
      </c>
      <c r="C6">
        <v>0.193</v>
      </c>
      <c r="D6">
        <v>8.4000000000000005E-2</v>
      </c>
      <c r="E6">
        <v>9.2999999999999999E-2</v>
      </c>
      <c r="F6">
        <v>0.126</v>
      </c>
      <c r="G6">
        <v>0.218</v>
      </c>
      <c r="H6">
        <v>7.0999999999999994E-2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0.13600000000000001</v>
      </c>
      <c r="C7">
        <v>0.15</v>
      </c>
      <c r="D7">
        <v>8.5000000000000006E-2</v>
      </c>
      <c r="E7">
        <v>9.8000000000000004E-2</v>
      </c>
      <c r="F7">
        <v>0.124</v>
      </c>
      <c r="G7">
        <v>0.12</v>
      </c>
      <c r="H7">
        <v>0.107</v>
      </c>
      <c r="I7">
        <v>7.8E-2</v>
      </c>
      <c r="J7">
        <v>6.9000000000000006E-2</v>
      </c>
      <c r="K7">
        <v>7.0999999999999994E-2</v>
      </c>
      <c r="L7">
        <v>0.64</v>
      </c>
      <c r="M7">
        <v>9.6000000000000002E-2</v>
      </c>
    </row>
    <row r="8" spans="1:13" x14ac:dyDescent="0.25">
      <c r="A8" t="s">
        <v>18</v>
      </c>
      <c r="B8">
        <v>0.122</v>
      </c>
      <c r="C8">
        <v>9.5000000000000001E-2</v>
      </c>
      <c r="D8">
        <v>7.5999999999999998E-2</v>
      </c>
      <c r="E8">
        <v>8.1000000000000003E-2</v>
      </c>
      <c r="F8">
        <v>0.106</v>
      </c>
      <c r="G8">
        <v>8.4000000000000005E-2</v>
      </c>
      <c r="H8">
        <v>7.8E-2</v>
      </c>
      <c r="I8">
        <v>5.6000000000000001E-2</v>
      </c>
      <c r="J8">
        <v>4.9000000000000002E-2</v>
      </c>
      <c r="K8">
        <v>6.3E-2</v>
      </c>
      <c r="L8">
        <v>0.36</v>
      </c>
      <c r="M8">
        <v>9.8000000000000004E-2</v>
      </c>
    </row>
    <row r="9" spans="1:13" x14ac:dyDescent="0.25">
      <c r="A9" t="s">
        <v>19</v>
      </c>
      <c r="B9">
        <v>0.155</v>
      </c>
      <c r="C9">
        <v>0.17100000000000001</v>
      </c>
      <c r="D9">
        <v>0.106</v>
      </c>
      <c r="E9">
        <v>0.11</v>
      </c>
      <c r="F9">
        <v>0.12</v>
      </c>
      <c r="G9">
        <v>0.109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25">
      <c r="A10" t="s">
        <v>20</v>
      </c>
      <c r="B10">
        <v>0.21299999999999999</v>
      </c>
      <c r="C10">
        <v>0.22700000000000001</v>
      </c>
      <c r="D10">
        <v>0.10299999999999999</v>
      </c>
      <c r="E10">
        <v>0.11799999999999999</v>
      </c>
      <c r="F10">
        <v>0.26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4.9999999999999906E-3</v>
      </c>
      <c r="C15" s="3">
        <f xml:space="preserve"> C3 - '+0 seg'!$C$3</f>
        <v>5.9999999999999915E-3</v>
      </c>
      <c r="D15" s="3">
        <f xml:space="preserve"> D3 - '+0 seg'!$D$3</f>
        <v>1.0000000000000009E-2</v>
      </c>
      <c r="E15" s="3">
        <f xml:space="preserve"> E3 - '+0 seg'!$E$3</f>
        <v>1.2000000000000011E-2</v>
      </c>
      <c r="F15" s="3">
        <f xml:space="preserve"> F3 - '+0 seg'!$F$3</f>
        <v>6.0000000000000053E-3</v>
      </c>
      <c r="G15" s="3">
        <f xml:space="preserve"> G3 - '+0 seg'!$G$3</f>
        <v>1.0999999999999996E-2</v>
      </c>
      <c r="H15" s="3">
        <f xml:space="preserve"> H3 - '+0 seg'!$H$3</f>
        <v>2.0000000000000018E-3</v>
      </c>
      <c r="I15" s="3">
        <f xml:space="preserve"> I3 - '+0 seg'!$I$3</f>
        <v>4.0000000000000036E-3</v>
      </c>
      <c r="J15" s="3">
        <f xml:space="preserve"> J3 - '+0 seg'!$J$3</f>
        <v>0</v>
      </c>
      <c r="K15" s="3">
        <f xml:space="preserve"> K3 - '+0 seg'!$K$3</f>
        <v>-2.9999999999999957E-3</v>
      </c>
      <c r="L15" s="3">
        <f xml:space="preserve"> L3 - '+0 seg'!$L$3</f>
        <v>0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7.0000000000000062E-3</v>
      </c>
      <c r="C16" s="3">
        <f xml:space="preserve"> C4 - '+0 seg'!$C$4</f>
        <v>3.9999999999999758E-3</v>
      </c>
      <c r="D16" s="3">
        <f xml:space="preserve"> D4 - '+0 seg'!$D$4</f>
        <v>4.0000000000000036E-3</v>
      </c>
      <c r="E16" s="3">
        <f xml:space="preserve"> E4 - '+0 seg'!$E$4</f>
        <v>5.9999999999999915E-3</v>
      </c>
      <c r="F16" s="3">
        <f xml:space="preserve"> F4 - '+0 seg'!$F$4</f>
        <v>6.0000000000000053E-3</v>
      </c>
      <c r="G16" s="3">
        <f xml:space="preserve"> G4 - '+0 seg'!$G$4</f>
        <v>7.0000000000000062E-3</v>
      </c>
      <c r="H16" s="3">
        <f xml:space="preserve"> H4 - '+0 seg'!$H$4</f>
        <v>7.0000000000000062E-3</v>
      </c>
      <c r="I16" s="3">
        <f xml:space="preserve"> I4 - '+0 seg'!$I$4</f>
        <v>3.0000000000000027E-3</v>
      </c>
      <c r="J16" s="3">
        <f xml:space="preserve"> J4 - '+0 seg'!$J$4</f>
        <v>-1.0000000000000009E-3</v>
      </c>
      <c r="K16" s="3">
        <f xml:space="preserve"> K4 - '+0 seg'!$K$4</f>
        <v>3.0000000000000027E-3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3.0000000000000027E-3</v>
      </c>
      <c r="C17" s="3">
        <f xml:space="preserve"> C5 - '+0 seg'!$C$5</f>
        <v>1.100000000000001E-2</v>
      </c>
      <c r="D17" s="3">
        <f xml:space="preserve"> D5 - '+0 seg'!$D$5</f>
        <v>5.0000000000000044E-3</v>
      </c>
      <c r="E17" s="3">
        <f xml:space="preserve"> E5 - '+0 seg'!$E$5</f>
        <v>0</v>
      </c>
      <c r="F17" s="3">
        <f xml:space="preserve"> F5 - '+0 seg'!$F$5</f>
        <v>5.9999999999999915E-3</v>
      </c>
      <c r="G17" s="3">
        <f xml:space="preserve"> G5 - '+0 seg'!$G$5</f>
        <v>-5.0000000000000044E-3</v>
      </c>
      <c r="H17" s="3">
        <f xml:space="preserve"> H5 - '+0 seg'!$H$5</f>
        <v>5.0000000000000044E-3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8.9999999999999802E-3</v>
      </c>
      <c r="C18" s="3">
        <f xml:space="preserve"> C6 - '+0 seg'!$C$6</f>
        <v>9.000000000000008E-3</v>
      </c>
      <c r="D18" s="3">
        <f xml:space="preserve"> D6 - '+0 seg'!$D$6</f>
        <v>2.0000000000000018E-3</v>
      </c>
      <c r="E18" s="3">
        <f xml:space="preserve"> E6 - '+0 seg'!$E$6</f>
        <v>2.0000000000000018E-3</v>
      </c>
      <c r="F18" s="3">
        <f xml:space="preserve"> F6 - '+0 seg'!$F$6</f>
        <v>8.9999999999999941E-3</v>
      </c>
      <c r="G18" s="3">
        <f xml:space="preserve"> G6 - '+0 seg'!$G$6</f>
        <v>1.8999999999999989E-2</v>
      </c>
      <c r="H18" s="3">
        <f xml:space="preserve"> H6 - '+0 seg'!$H$6</f>
        <v>2.9999999999999888E-3</v>
      </c>
      <c r="I18" s="3">
        <f xml:space="preserve"> I6 - '+0 seg'!$I$6</f>
        <v>2.0000000000000018E-3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-1.0000000000000009E-3</v>
      </c>
      <c r="D19" s="3">
        <f xml:space="preserve"> D7 - '+0 seg'!$D$7</f>
        <v>5.0000000000000044E-3</v>
      </c>
      <c r="E19" s="3">
        <f xml:space="preserve"> E7 - '+0 seg'!$E$7</f>
        <v>1.0000000000000009E-2</v>
      </c>
      <c r="F19" s="3">
        <f xml:space="preserve"> F7 - '+0 seg'!$F$7</f>
        <v>1.1999999999999997E-2</v>
      </c>
      <c r="G19" s="3">
        <f xml:space="preserve"> G7 - '+0 seg'!$G$7</f>
        <v>1.7000000000000001E-2</v>
      </c>
      <c r="H19" s="3">
        <f xml:space="preserve"> H7 - '+0 seg'!$H$7</f>
        <v>1.2999999999999998E-2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1.9999999999999879E-3</v>
      </c>
      <c r="L19" s="3">
        <f xml:space="preserve"> L7 - '+0 seg'!$L$7</f>
        <v>-3.0000000000000027E-3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5.9999999999999915E-3</v>
      </c>
      <c r="C20" s="3">
        <f xml:space="preserve"> C8 - '+0 seg'!$C$8</f>
        <v>4.0000000000000036E-3</v>
      </c>
      <c r="D20" s="3">
        <f xml:space="preserve"> D8 - '+0 seg'!$D$8</f>
        <v>-3.0000000000000027E-3</v>
      </c>
      <c r="E20" s="3">
        <f xml:space="preserve"> E8 - '+0 seg'!$E$8</f>
        <v>6.0000000000000053E-3</v>
      </c>
      <c r="F20" s="3">
        <f xml:space="preserve"> F8 - '+0 seg'!$F$8</f>
        <v>9.999999999999995E-3</v>
      </c>
      <c r="G20" s="3">
        <f xml:space="preserve"> G8 - '+0 seg'!$G$8</f>
        <v>5.0000000000000044E-3</v>
      </c>
      <c r="H20" s="3">
        <f xml:space="preserve"> H8 - '+0 seg'!$H$8</f>
        <v>2.0000000000000018E-3</v>
      </c>
      <c r="I20" s="3">
        <f xml:space="preserve"> I8 - '+0 seg'!$I$8</f>
        <v>-2.9999999999999957E-3</v>
      </c>
      <c r="J20" s="3">
        <f xml:space="preserve"> J8 - '+0 seg'!$J$8</f>
        <v>-1.9999999999999948E-3</v>
      </c>
      <c r="K20" s="3">
        <f xml:space="preserve"> K8 - '+0 seg'!$K$8</f>
        <v>1.0000000000000009E-3</v>
      </c>
      <c r="L20" s="3">
        <f xml:space="preserve"> L8 - '+0 seg'!$L$8</f>
        <v>-9.000000000000008E-3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4.0000000000000036E-3</v>
      </c>
      <c r="C21" s="3">
        <f xml:space="preserve"> C9 - '+0 seg'!$C$9</f>
        <v>9.000000000000008E-3</v>
      </c>
      <c r="D21" s="3">
        <f xml:space="preserve"> D9 - '+0 seg'!$D$9</f>
        <v>5.9999999999999915E-3</v>
      </c>
      <c r="E21" s="3">
        <f xml:space="preserve"> E9 - '+0 seg'!$E$9</f>
        <v>5.0000000000000044E-3</v>
      </c>
      <c r="F21" s="3">
        <f xml:space="preserve"> F9 - '+0 seg'!$F$9</f>
        <v>3.9999999999999897E-3</v>
      </c>
      <c r="G21" s="3">
        <f xml:space="preserve"> G9 - '+0 seg'!$G$9</f>
        <v>1.0999999999999996E-2</v>
      </c>
      <c r="H21" s="3">
        <f xml:space="preserve"> H9 - '+0 seg'!$H$9</f>
        <v>0</v>
      </c>
      <c r="I21" s="3">
        <f xml:space="preserve"> I9 - '+0 seg'!$I$9</f>
        <v>1.0000000000000009E-3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1.0000000000000009E-3</v>
      </c>
    </row>
    <row r="22" spans="1:13" x14ac:dyDescent="0.25">
      <c r="A22" t="s">
        <v>20</v>
      </c>
      <c r="B22" s="3">
        <f xml:space="preserve"> B10 - '+0 seg'!$B$10</f>
        <v>-6.0000000000000053E-3</v>
      </c>
      <c r="C22" s="3">
        <f xml:space="preserve"> C10 - '+0 seg'!$C$10</f>
        <v>2.200000000000002E-2</v>
      </c>
      <c r="D22" s="3">
        <f xml:space="preserve"> D10 - '+0 seg'!$D$10</f>
        <v>-2.0000000000000018E-3</v>
      </c>
      <c r="E22" s="3">
        <f xml:space="preserve"> E10 - '+0 seg'!$E$10</f>
        <v>5.9999999999999915E-3</v>
      </c>
      <c r="F22" s="3">
        <f xml:space="preserve"> F10 - '+0 seg'!$F$10</f>
        <v>3.4000000000000002E-2</v>
      </c>
      <c r="G22" s="3">
        <f xml:space="preserve"> G10 - '+0 seg'!$G$10</f>
        <v>2.0000000000000018E-3</v>
      </c>
      <c r="H22" s="3">
        <f xml:space="preserve"> H10 - '+0 seg'!$H$10</f>
        <v>3.0000000000000027E-3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5.499999999999991E-3</v>
      </c>
      <c r="C26" s="3">
        <f>STDEV(B15:C15)</f>
        <v>7.0710678118654816E-4</v>
      </c>
      <c r="D26" s="3">
        <f t="shared" ref="D26:H33" si="0">AVERAGE(D15:E15)</f>
        <v>1.100000000000001E-2</v>
      </c>
      <c r="E26" s="3">
        <f>STDEV(D15:E15)</f>
        <v>1.4142135623730963E-3</v>
      </c>
      <c r="F26" s="3">
        <f t="shared" si="0"/>
        <v>8.5000000000000006E-3</v>
      </c>
      <c r="G26" s="3">
        <f>STDEV(F15:G15)</f>
        <v>3.5355339059327307E-3</v>
      </c>
      <c r="H26" s="3">
        <f t="shared" si="0"/>
        <v>3.0000000000000027E-3</v>
      </c>
      <c r="I26" s="3">
        <f>STDEV(H15:I15)</f>
        <v>1.4142135623730963E-3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3.4694469519536142E-18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5.499999999999991E-3</v>
      </c>
      <c r="C27" s="3">
        <f t="shared" ref="C27:E33" si="2">STDEV(B16:C16)</f>
        <v>2.1213203435596641E-3</v>
      </c>
      <c r="D27" s="3">
        <f t="shared" si="0"/>
        <v>4.9999999999999975E-3</v>
      </c>
      <c r="E27" s="3">
        <f t="shared" si="2"/>
        <v>1.4142135623730866E-3</v>
      </c>
      <c r="F27" s="3">
        <f t="shared" si="0"/>
        <v>6.5000000000000058E-3</v>
      </c>
      <c r="G27" s="3">
        <f t="shared" ref="G27:G33" si="3">STDEV(F16:G16)</f>
        <v>7.0710678118654816E-4</v>
      </c>
      <c r="H27" s="3">
        <f t="shared" si="0"/>
        <v>5.0000000000000044E-3</v>
      </c>
      <c r="I27" s="3">
        <f t="shared" ref="I27:I33" si="4">STDEV(H16:I16)</f>
        <v>2.8284271247461922E-3</v>
      </c>
      <c r="L27" s="3"/>
      <c r="M27" s="3"/>
    </row>
    <row r="28" spans="1:13" x14ac:dyDescent="0.25">
      <c r="A28" t="s">
        <v>15</v>
      </c>
      <c r="B28" s="3">
        <f t="shared" si="1"/>
        <v>7.0000000000000062E-3</v>
      </c>
      <c r="C28" s="3">
        <f t="shared" si="2"/>
        <v>5.6568542494923853E-3</v>
      </c>
      <c r="D28" s="3">
        <f t="shared" si="0"/>
        <v>2.5000000000000022E-3</v>
      </c>
      <c r="E28" s="3">
        <f t="shared" si="2"/>
        <v>3.5355339059327407E-3</v>
      </c>
      <c r="F28" s="3">
        <f t="shared" si="0"/>
        <v>4.9999999999999351E-4</v>
      </c>
      <c r="G28" s="3">
        <f t="shared" si="3"/>
        <v>7.7781745930520204E-3</v>
      </c>
      <c r="H28" s="3">
        <f t="shared" si="0"/>
        <v>-1.0000000000000009E-3</v>
      </c>
      <c r="I28" s="3">
        <f t="shared" si="4"/>
        <v>8.4852813742385784E-3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8.9999999999999941E-3</v>
      </c>
      <c r="C29" s="3">
        <f t="shared" si="2"/>
        <v>1.962615573354719E-17</v>
      </c>
      <c r="D29" s="3">
        <f t="shared" si="0"/>
        <v>2.0000000000000018E-3</v>
      </c>
      <c r="E29" s="3">
        <f t="shared" si="2"/>
        <v>0</v>
      </c>
      <c r="F29" s="3">
        <f t="shared" si="0"/>
        <v>1.3999999999999992E-2</v>
      </c>
      <c r="G29" s="3">
        <f t="shared" si="3"/>
        <v>7.0710678118654727E-3</v>
      </c>
      <c r="H29" s="3">
        <f t="shared" si="0"/>
        <v>2.4999999999999953E-3</v>
      </c>
      <c r="I29" s="3">
        <f t="shared" si="4"/>
        <v>7.0710678118653841E-4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5.0000000000000044E-4</v>
      </c>
      <c r="C30" s="3">
        <f t="shared" si="2"/>
        <v>2.1213203435596446E-3</v>
      </c>
      <c r="D30" s="3">
        <f t="shared" si="0"/>
        <v>7.5000000000000067E-3</v>
      </c>
      <c r="E30" s="3">
        <f t="shared" si="2"/>
        <v>3.5355339059327403E-3</v>
      </c>
      <c r="F30" s="3">
        <f t="shared" si="0"/>
        <v>1.4499999999999999E-2</v>
      </c>
      <c r="G30" s="3">
        <f t="shared" si="3"/>
        <v>3.5355339059327407E-3</v>
      </c>
      <c r="H30" s="3">
        <f t="shared" si="0"/>
        <v>3.4999999999999962E-3</v>
      </c>
      <c r="I30" s="3">
        <f t="shared" si="4"/>
        <v>1.3435028842544406E-2</v>
      </c>
      <c r="J30" s="3">
        <f>AVERAGE(J19:J20)</f>
        <v>-9.9999999999999742E-4</v>
      </c>
      <c r="K30" s="3">
        <f>STDEV(J19:J20)</f>
        <v>1.4142135623730913E-3</v>
      </c>
      <c r="L30" s="3">
        <f>AVERAGE(K19:K20)</f>
        <v>1.4999999999999944E-3</v>
      </c>
      <c r="M30" s="3">
        <f>STDEV(K19:K20)</f>
        <v>7.0710678118653841E-4</v>
      </c>
    </row>
    <row r="31" spans="1:13" x14ac:dyDescent="0.25">
      <c r="A31" t="s">
        <v>18</v>
      </c>
      <c r="B31" s="3">
        <f t="shared" si="1"/>
        <v>4.9999999999999975E-3</v>
      </c>
      <c r="C31" s="3">
        <f t="shared" si="2"/>
        <v>1.4142135623730866E-3</v>
      </c>
      <c r="D31" s="3">
        <f t="shared" si="0"/>
        <v>1.5000000000000013E-3</v>
      </c>
      <c r="E31" s="3">
        <f t="shared" si="2"/>
        <v>6.3639610306789329E-3</v>
      </c>
      <c r="F31" s="3">
        <f t="shared" si="0"/>
        <v>7.4999999999999997E-3</v>
      </c>
      <c r="G31" s="3">
        <f t="shared" si="3"/>
        <v>3.5355339059327307E-3</v>
      </c>
      <c r="H31" s="3">
        <f t="shared" si="0"/>
        <v>-4.9999999999999697E-4</v>
      </c>
      <c r="I31" s="3">
        <f t="shared" si="4"/>
        <v>3.5355339059327359E-3</v>
      </c>
      <c r="L31" s="3"/>
      <c r="M31" s="3"/>
    </row>
    <row r="32" spans="1:13" x14ac:dyDescent="0.25">
      <c r="A32" t="s">
        <v>19</v>
      </c>
      <c r="B32" s="3">
        <f t="shared" si="1"/>
        <v>6.5000000000000058E-3</v>
      </c>
      <c r="C32" s="3">
        <f t="shared" si="2"/>
        <v>3.5355339059327385E-3</v>
      </c>
      <c r="D32" s="3">
        <f t="shared" si="0"/>
        <v>5.4999999999999979E-3</v>
      </c>
      <c r="E32" s="3">
        <f t="shared" si="2"/>
        <v>7.0710678118653841E-4</v>
      </c>
      <c r="F32" s="3">
        <f t="shared" si="0"/>
        <v>7.4999999999999928E-3</v>
      </c>
      <c r="G32" s="3">
        <f t="shared" si="3"/>
        <v>4.9497474683058377E-3</v>
      </c>
      <c r="H32" s="3">
        <f t="shared" si="0"/>
        <v>5.0000000000000044E-4</v>
      </c>
      <c r="I32" s="3">
        <f t="shared" si="4"/>
        <v>7.0710678118654816E-4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8.0000000000000071E-3</v>
      </c>
      <c r="C33" s="3">
        <f t="shared" si="2"/>
        <v>1.9798989873223347E-2</v>
      </c>
      <c r="D33" s="3">
        <f t="shared" si="0"/>
        <v>1.9999999999999948E-3</v>
      </c>
      <c r="E33" s="3">
        <f t="shared" si="2"/>
        <v>5.6568542494923758E-3</v>
      </c>
      <c r="F33" s="3">
        <f t="shared" si="0"/>
        <v>1.8000000000000002E-2</v>
      </c>
      <c r="G33" s="3">
        <f t="shared" si="3"/>
        <v>2.2627416997969524E-2</v>
      </c>
      <c r="H33" s="3">
        <f t="shared" si="0"/>
        <v>2.5000000000000022E-3</v>
      </c>
      <c r="I33" s="3">
        <f t="shared" si="4"/>
        <v>7.0710678118654816E-4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0.104</v>
      </c>
      <c r="C3">
        <v>9.0999999999999998E-2</v>
      </c>
      <c r="D3">
        <v>8.3000000000000004E-2</v>
      </c>
      <c r="E3">
        <v>9.0999999999999998E-2</v>
      </c>
      <c r="F3">
        <v>0.153</v>
      </c>
      <c r="G3">
        <v>0.127</v>
      </c>
      <c r="H3">
        <v>8.5000000000000006E-2</v>
      </c>
      <c r="I3">
        <v>6.5000000000000002E-2</v>
      </c>
      <c r="J3">
        <v>5.0999999999999997E-2</v>
      </c>
      <c r="K3">
        <v>4.9000000000000002E-2</v>
      </c>
      <c r="L3">
        <v>0.121</v>
      </c>
      <c r="M3">
        <v>9.2999999999999999E-2</v>
      </c>
    </row>
    <row r="4" spans="1:13" x14ac:dyDescent="0.25">
      <c r="A4" t="s">
        <v>14</v>
      </c>
      <c r="B4">
        <v>0.13200000000000001</v>
      </c>
      <c r="C4">
        <v>0.14399999999999999</v>
      </c>
      <c r="D4">
        <v>8.2000000000000003E-2</v>
      </c>
      <c r="E4">
        <v>0.09</v>
      </c>
      <c r="F4">
        <v>0.152</v>
      </c>
      <c r="G4">
        <v>0.13500000000000001</v>
      </c>
      <c r="H4">
        <v>9.9000000000000005E-2</v>
      </c>
      <c r="I4">
        <v>9.6000000000000002E-2</v>
      </c>
      <c r="J4">
        <v>6.0999999999999999E-2</v>
      </c>
      <c r="K4">
        <v>5.5E-2</v>
      </c>
      <c r="L4">
        <v>9.4E-2</v>
      </c>
      <c r="M4">
        <v>0.111</v>
      </c>
    </row>
    <row r="5" spans="1:13" x14ac:dyDescent="0.25">
      <c r="A5" t="s">
        <v>15</v>
      </c>
      <c r="B5">
        <v>0.14399999999999999</v>
      </c>
      <c r="C5">
        <v>0.153</v>
      </c>
      <c r="D5">
        <v>8.5000000000000006E-2</v>
      </c>
      <c r="E5">
        <v>0.08</v>
      </c>
      <c r="F5">
        <v>0.108</v>
      </c>
      <c r="G5">
        <v>0.111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25">
      <c r="A6" t="s">
        <v>16</v>
      </c>
      <c r="B6">
        <v>0.18</v>
      </c>
      <c r="C6">
        <v>0.19500000000000001</v>
      </c>
      <c r="D6">
        <v>8.4000000000000005E-2</v>
      </c>
      <c r="E6">
        <v>9.2999999999999999E-2</v>
      </c>
      <c r="F6">
        <v>0.126</v>
      </c>
      <c r="G6">
        <v>0.219</v>
      </c>
      <c r="H6">
        <v>7.0999999999999994E-2</v>
      </c>
      <c r="I6">
        <v>0.112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0.13600000000000001</v>
      </c>
      <c r="C7">
        <v>0.151</v>
      </c>
      <c r="D7">
        <v>8.3000000000000004E-2</v>
      </c>
      <c r="E7">
        <v>9.9000000000000005E-2</v>
      </c>
      <c r="F7">
        <v>0.126</v>
      </c>
      <c r="G7">
        <v>0.12</v>
      </c>
      <c r="H7">
        <v>0.107</v>
      </c>
      <c r="I7">
        <v>7.6999999999999999E-2</v>
      </c>
      <c r="J7">
        <v>6.9000000000000006E-2</v>
      </c>
      <c r="K7">
        <v>7.0000000000000007E-2</v>
      </c>
      <c r="L7">
        <v>0.626</v>
      </c>
      <c r="M7">
        <v>9.6000000000000002E-2</v>
      </c>
    </row>
    <row r="8" spans="1:13" x14ac:dyDescent="0.25">
      <c r="A8" t="s">
        <v>18</v>
      </c>
      <c r="B8">
        <v>0.123</v>
      </c>
      <c r="C8">
        <v>9.6000000000000002E-2</v>
      </c>
      <c r="D8">
        <v>7.4999999999999997E-2</v>
      </c>
      <c r="E8">
        <v>8.2000000000000003E-2</v>
      </c>
      <c r="F8">
        <v>0.106</v>
      </c>
      <c r="G8">
        <v>8.4000000000000005E-2</v>
      </c>
      <c r="H8">
        <v>7.6999999999999999E-2</v>
      </c>
      <c r="I8">
        <v>5.5E-2</v>
      </c>
      <c r="J8">
        <v>4.8000000000000001E-2</v>
      </c>
      <c r="K8">
        <v>6.3E-2</v>
      </c>
      <c r="L8">
        <v>0.35399999999999998</v>
      </c>
      <c r="M8">
        <v>9.8000000000000004E-2</v>
      </c>
    </row>
    <row r="9" spans="1:13" x14ac:dyDescent="0.25">
      <c r="A9" t="s">
        <v>19</v>
      </c>
      <c r="B9">
        <v>0.155</v>
      </c>
      <c r="C9">
        <v>0.17100000000000001</v>
      </c>
      <c r="D9">
        <v>0.106</v>
      </c>
      <c r="E9">
        <v>0.11</v>
      </c>
      <c r="F9">
        <v>0.121</v>
      </c>
      <c r="G9">
        <v>0.11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0.215</v>
      </c>
      <c r="C10">
        <v>0.22800000000000001</v>
      </c>
      <c r="D10">
        <v>0.10299999999999999</v>
      </c>
      <c r="E10">
        <v>0.12</v>
      </c>
      <c r="F10">
        <v>0.26100000000000001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5.9999999999999915E-3</v>
      </c>
      <c r="C15" s="3">
        <f xml:space="preserve"> C3 - '+0 seg'!$C$3</f>
        <v>5.9999999999999915E-3</v>
      </c>
      <c r="D15" s="3">
        <f xml:space="preserve"> D3 - '+0 seg'!$D$3</f>
        <v>1.0000000000000009E-2</v>
      </c>
      <c r="E15" s="3">
        <f xml:space="preserve"> E3 - '+0 seg'!$E$3</f>
        <v>4.0000000000000036E-3</v>
      </c>
      <c r="F15" s="3">
        <f xml:space="preserve"> F3 - '+0 seg'!$F$3</f>
        <v>6.0000000000000053E-3</v>
      </c>
      <c r="G15" s="3">
        <f xml:space="preserve"> G3 - '+0 seg'!$G$3</f>
        <v>1.1999999999999997E-2</v>
      </c>
      <c r="H15" s="3">
        <f xml:space="preserve"> H3 - '+0 seg'!$H$3</f>
        <v>2.0000000000000018E-3</v>
      </c>
      <c r="I15" s="3">
        <f xml:space="preserve"> I3 - '+0 seg'!$I$3</f>
        <v>4.0000000000000036E-3</v>
      </c>
      <c r="J15" s="3">
        <f xml:space="preserve"> J3 - '+0 seg'!$J$3</f>
        <v>0</v>
      </c>
      <c r="K15" s="3">
        <f xml:space="preserve"> K3 - '+0 seg'!$K$3</f>
        <v>-2.9999999999999957E-3</v>
      </c>
      <c r="L15" s="3">
        <f xml:space="preserve"> L3 - '+0 seg'!$L$3</f>
        <v>1.0000000000000009E-3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4.0000000000000036E-3</v>
      </c>
      <c r="C16" s="3">
        <f xml:space="preserve"> C4 - '+0 seg'!$C$4</f>
        <v>3.9999999999999758E-3</v>
      </c>
      <c r="D16" s="3">
        <f xml:space="preserve"> D4 - '+0 seg'!$D$4</f>
        <v>6.0000000000000053E-3</v>
      </c>
      <c r="E16" s="3">
        <f xml:space="preserve"> E4 - '+0 seg'!$E$4</f>
        <v>5.9999999999999915E-3</v>
      </c>
      <c r="F16" s="3">
        <f xml:space="preserve"> F4 - '+0 seg'!$F$4</f>
        <v>6.0000000000000053E-3</v>
      </c>
      <c r="G16" s="3">
        <f xml:space="preserve"> G4 - '+0 seg'!$G$4</f>
        <v>8.0000000000000071E-3</v>
      </c>
      <c r="H16" s="3">
        <f xml:space="preserve"> H4 - '+0 seg'!$H$4</f>
        <v>8.0000000000000071E-3</v>
      </c>
      <c r="I16" s="3">
        <f xml:space="preserve"> I4 - '+0 seg'!$I$4</f>
        <v>4.0000000000000036E-3</v>
      </c>
      <c r="J16" s="3">
        <f xml:space="preserve"> J4 - '+0 seg'!$J$4</f>
        <v>-1.0000000000000009E-3</v>
      </c>
      <c r="K16" s="3">
        <f xml:space="preserve"> K4 - '+0 seg'!$K$4</f>
        <v>3.0000000000000027E-3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3.0000000000000027E-3</v>
      </c>
      <c r="C17" s="3">
        <f xml:space="preserve"> C5 - '+0 seg'!$C$5</f>
        <v>1.100000000000001E-2</v>
      </c>
      <c r="D17" s="3">
        <f xml:space="preserve"> D5 - '+0 seg'!$D$5</f>
        <v>5.0000000000000044E-3</v>
      </c>
      <c r="E17" s="3">
        <f xml:space="preserve"> E5 - '+0 seg'!$E$5</f>
        <v>0</v>
      </c>
      <c r="F17" s="3">
        <f xml:space="preserve"> F5 - '+0 seg'!$F$5</f>
        <v>6.9999999999999923E-3</v>
      </c>
      <c r="G17" s="3">
        <f xml:space="preserve"> G5 - '+0 seg'!$G$5</f>
        <v>-5.0000000000000044E-3</v>
      </c>
      <c r="H17" s="3">
        <f xml:space="preserve"> H5 - '+0 seg'!$H$5</f>
        <v>5.0000000000000044E-3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8.9999999999999802E-3</v>
      </c>
      <c r="C18" s="3">
        <f xml:space="preserve"> C6 - '+0 seg'!$C$6</f>
        <v>1.100000000000001E-2</v>
      </c>
      <c r="D18" s="3">
        <f xml:space="preserve"> D6 - '+0 seg'!$D$6</f>
        <v>2.0000000000000018E-3</v>
      </c>
      <c r="E18" s="3">
        <f xml:space="preserve"> E6 - '+0 seg'!$E$6</f>
        <v>2.0000000000000018E-3</v>
      </c>
      <c r="F18" s="3">
        <f xml:space="preserve"> F6 - '+0 seg'!$F$6</f>
        <v>8.9999999999999941E-3</v>
      </c>
      <c r="G18" s="3">
        <f xml:space="preserve"> G6 - '+0 seg'!$G$6</f>
        <v>1.999999999999999E-2</v>
      </c>
      <c r="H18" s="3">
        <f xml:space="preserve"> H6 - '+0 seg'!$H$6</f>
        <v>2.9999999999999888E-3</v>
      </c>
      <c r="I18" s="3">
        <f xml:space="preserve"> I6 - '+0 seg'!$I$6</f>
        <v>3.0000000000000027E-3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0</v>
      </c>
      <c r="D19" s="3">
        <f xml:space="preserve"> D7 - '+0 seg'!$D$7</f>
        <v>3.0000000000000027E-3</v>
      </c>
      <c r="E19" s="3">
        <f xml:space="preserve"> E7 - '+0 seg'!$E$7</f>
        <v>1.100000000000001E-2</v>
      </c>
      <c r="F19" s="3">
        <f xml:space="preserve"> F7 - '+0 seg'!$F$7</f>
        <v>1.3999999999999999E-2</v>
      </c>
      <c r="G19" s="3">
        <f xml:space="preserve"> G7 - '+0 seg'!$G$7</f>
        <v>1.7000000000000001E-2</v>
      </c>
      <c r="H19" s="3">
        <f xml:space="preserve"> H7 - '+0 seg'!$H$7</f>
        <v>1.2999999999999998E-2</v>
      </c>
      <c r="I19" s="3">
        <f xml:space="preserve"> I7 - '+0 seg'!$I$7</f>
        <v>-7.0000000000000062E-3</v>
      </c>
      <c r="J19" s="3">
        <f xml:space="preserve"> J7 - '+0 seg'!$J$7</f>
        <v>0</v>
      </c>
      <c r="K19" s="3">
        <f xml:space="preserve"> K7 - '+0 seg'!$K$7</f>
        <v>1.0000000000000009E-3</v>
      </c>
      <c r="L19" s="3">
        <f xml:space="preserve"> L7 - '+0 seg'!$L$7</f>
        <v>-1.7000000000000015E-2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6.9999999999999923E-3</v>
      </c>
      <c r="C20" s="3">
        <f xml:space="preserve"> C8 - '+0 seg'!$C$8</f>
        <v>5.0000000000000044E-3</v>
      </c>
      <c r="D20" s="3">
        <f xml:space="preserve"> D8 - '+0 seg'!$D$8</f>
        <v>-4.0000000000000036E-3</v>
      </c>
      <c r="E20" s="3">
        <f xml:space="preserve"> E8 - '+0 seg'!$E$8</f>
        <v>7.0000000000000062E-3</v>
      </c>
      <c r="F20" s="3">
        <f xml:space="preserve"> F8 - '+0 seg'!$F$8</f>
        <v>9.999999999999995E-3</v>
      </c>
      <c r="G20" s="3">
        <f xml:space="preserve"> G8 - '+0 seg'!$G$8</f>
        <v>5.0000000000000044E-3</v>
      </c>
      <c r="H20" s="3">
        <f xml:space="preserve"> H8 - '+0 seg'!$H$8</f>
        <v>1.0000000000000009E-3</v>
      </c>
      <c r="I20" s="3">
        <f xml:space="preserve"> I8 - '+0 seg'!$I$8</f>
        <v>-3.9999999999999966E-3</v>
      </c>
      <c r="J20" s="3">
        <f xml:space="preserve"> J8 - '+0 seg'!$J$8</f>
        <v>-2.9999999999999957E-3</v>
      </c>
      <c r="K20" s="3">
        <f xml:space="preserve"> K8 - '+0 seg'!$K$8</f>
        <v>1.0000000000000009E-3</v>
      </c>
      <c r="L20" s="3">
        <f xml:space="preserve"> L8 - '+0 seg'!$L$8</f>
        <v>-1.5000000000000013E-2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4.0000000000000036E-3</v>
      </c>
      <c r="C21" s="3">
        <f xml:space="preserve"> C9 - '+0 seg'!$C$9</f>
        <v>9.000000000000008E-3</v>
      </c>
      <c r="D21" s="3">
        <f xml:space="preserve"> D9 - '+0 seg'!$D$9</f>
        <v>5.9999999999999915E-3</v>
      </c>
      <c r="E21" s="3">
        <f xml:space="preserve"> E9 - '+0 seg'!$E$9</f>
        <v>5.0000000000000044E-3</v>
      </c>
      <c r="F21" s="3">
        <f xml:space="preserve"> F9 - '+0 seg'!$F$9</f>
        <v>4.9999999999999906E-3</v>
      </c>
      <c r="G21" s="3">
        <f xml:space="preserve"> G9 - '+0 seg'!$G$9</f>
        <v>1.1999999999999997E-2</v>
      </c>
      <c r="H21" s="3">
        <f xml:space="preserve"> H9 - '+0 seg'!$H$9</f>
        <v>9.9999999999998701E-4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-4.0000000000000036E-3</v>
      </c>
      <c r="C22" s="3">
        <f xml:space="preserve"> C10 - '+0 seg'!$C$10</f>
        <v>2.300000000000002E-2</v>
      </c>
      <c r="D22" s="3">
        <f xml:space="preserve"> D10 - '+0 seg'!$D$10</f>
        <v>-2.0000000000000018E-3</v>
      </c>
      <c r="E22" s="3">
        <f xml:space="preserve"> E10 - '+0 seg'!$E$10</f>
        <v>7.9999999999999932E-3</v>
      </c>
      <c r="F22" s="3">
        <f xml:space="preserve"> F10 - '+0 seg'!$F$10</f>
        <v>3.5000000000000003E-2</v>
      </c>
      <c r="G22" s="3">
        <f xml:space="preserve"> G10 - '+0 seg'!$G$10</f>
        <v>2.0000000000000018E-3</v>
      </c>
      <c r="H22" s="3">
        <f xml:space="preserve"> H10 - '+0 seg'!$H$10</f>
        <v>3.0000000000000027E-3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5.9999999999999915E-3</v>
      </c>
      <c r="C26" s="3">
        <f>STDEV(B15:C15)</f>
        <v>0</v>
      </c>
      <c r="D26" s="3">
        <f t="shared" ref="D26:H33" si="0">AVERAGE(D15:E15)</f>
        <v>7.0000000000000062E-3</v>
      </c>
      <c r="E26" s="3">
        <f>STDEV(D15:E15)</f>
        <v>4.2426406871192901E-3</v>
      </c>
      <c r="F26" s="3">
        <f t="shared" si="0"/>
        <v>9.0000000000000011E-3</v>
      </c>
      <c r="G26" s="3">
        <f>STDEV(F15:G15)</f>
        <v>4.2426406871192788E-3</v>
      </c>
      <c r="H26" s="3">
        <f t="shared" si="0"/>
        <v>3.0000000000000027E-3</v>
      </c>
      <c r="I26" s="3">
        <f>STDEV(H15:I15)</f>
        <v>1.4142135623730963E-3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3.4694469519536142E-18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3.9999999999999897E-3</v>
      </c>
      <c r="C27" s="3">
        <f t="shared" ref="C27:E33" si="2">STDEV(B16:C16)</f>
        <v>1.962615573354719E-17</v>
      </c>
      <c r="D27" s="3">
        <f t="shared" si="0"/>
        <v>5.9999999999999984E-3</v>
      </c>
      <c r="E27" s="3">
        <f t="shared" si="2"/>
        <v>9.8130778667735948E-18</v>
      </c>
      <c r="F27" s="3">
        <f t="shared" si="0"/>
        <v>7.0000000000000062E-3</v>
      </c>
      <c r="G27" s="3">
        <f t="shared" ref="G27:G33" si="3">STDEV(F16:G16)</f>
        <v>1.4142135623730963E-3</v>
      </c>
      <c r="H27" s="3">
        <f t="shared" si="0"/>
        <v>6.0000000000000053E-3</v>
      </c>
      <c r="I27" s="3">
        <f t="shared" ref="I27:I33" si="4">STDEV(H16:I16)</f>
        <v>2.8284271247461957E-3</v>
      </c>
      <c r="L27" s="3"/>
      <c r="M27" s="3"/>
    </row>
    <row r="28" spans="1:13" x14ac:dyDescent="0.25">
      <c r="A28" t="s">
        <v>15</v>
      </c>
      <c r="B28" s="3">
        <f t="shared" si="1"/>
        <v>7.0000000000000062E-3</v>
      </c>
      <c r="C28" s="3">
        <f t="shared" si="2"/>
        <v>5.6568542494923853E-3</v>
      </c>
      <c r="D28" s="3">
        <f t="shared" si="0"/>
        <v>2.5000000000000022E-3</v>
      </c>
      <c r="E28" s="3">
        <f t="shared" si="2"/>
        <v>3.5355339059327407E-3</v>
      </c>
      <c r="F28" s="3">
        <f t="shared" si="0"/>
        <v>9.9999999999999395E-4</v>
      </c>
      <c r="G28" s="3">
        <f t="shared" si="3"/>
        <v>8.485281374238568E-3</v>
      </c>
      <c r="H28" s="3">
        <f t="shared" si="0"/>
        <v>-1.0000000000000009E-3</v>
      </c>
      <c r="I28" s="3">
        <f t="shared" si="4"/>
        <v>8.4852813742385784E-3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9.999999999999995E-3</v>
      </c>
      <c r="C29" s="3">
        <f t="shared" si="2"/>
        <v>1.4142135623731161E-3</v>
      </c>
      <c r="D29" s="3">
        <f t="shared" si="0"/>
        <v>2.0000000000000018E-3</v>
      </c>
      <c r="E29" s="3">
        <f t="shared" si="2"/>
        <v>0</v>
      </c>
      <c r="F29" s="3">
        <f t="shared" si="0"/>
        <v>1.4499999999999992E-2</v>
      </c>
      <c r="G29" s="3">
        <f t="shared" si="3"/>
        <v>7.7781745930520195E-3</v>
      </c>
      <c r="H29" s="3">
        <f t="shared" si="0"/>
        <v>2.9999999999999957E-3</v>
      </c>
      <c r="I29" s="3">
        <f t="shared" si="4"/>
        <v>9.8130778667735948E-18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1.0000000000000009E-3</v>
      </c>
      <c r="C30" s="3">
        <f t="shared" si="2"/>
        <v>1.4142135623730963E-3</v>
      </c>
      <c r="D30" s="3">
        <f t="shared" si="0"/>
        <v>7.0000000000000062E-3</v>
      </c>
      <c r="E30" s="3">
        <f t="shared" si="2"/>
        <v>5.6568542494923853E-3</v>
      </c>
      <c r="F30" s="3">
        <f t="shared" si="0"/>
        <v>1.55E-2</v>
      </c>
      <c r="G30" s="3">
        <f t="shared" si="3"/>
        <v>2.1213203435596446E-3</v>
      </c>
      <c r="H30" s="3">
        <f t="shared" si="0"/>
        <v>2.9999999999999957E-3</v>
      </c>
      <c r="I30" s="3">
        <f t="shared" si="4"/>
        <v>1.4142135623730952E-2</v>
      </c>
      <c r="J30" s="3">
        <f>AVERAGE(J19:J20)</f>
        <v>-1.4999999999999979E-3</v>
      </c>
      <c r="K30" s="3">
        <f>STDEV(J19:J20)</f>
        <v>2.1213203435596394E-3</v>
      </c>
      <c r="L30" s="3">
        <f>AVERAGE(K19:K20)</f>
        <v>1.0000000000000009E-3</v>
      </c>
      <c r="M30" s="3">
        <f>STDEV(K19:K20)</f>
        <v>0</v>
      </c>
    </row>
    <row r="31" spans="1:13" x14ac:dyDescent="0.25">
      <c r="A31" t="s">
        <v>18</v>
      </c>
      <c r="B31" s="3">
        <f t="shared" si="1"/>
        <v>5.9999999999999984E-3</v>
      </c>
      <c r="C31" s="3">
        <f t="shared" si="2"/>
        <v>1.4142135623730866E-3</v>
      </c>
      <c r="D31" s="3">
        <f t="shared" si="0"/>
        <v>1.5000000000000013E-3</v>
      </c>
      <c r="E31" s="3">
        <f t="shared" si="2"/>
        <v>7.7781745930520299E-3</v>
      </c>
      <c r="F31" s="3">
        <f t="shared" si="0"/>
        <v>7.4999999999999997E-3</v>
      </c>
      <c r="G31" s="3">
        <f t="shared" si="3"/>
        <v>3.5355339059327307E-3</v>
      </c>
      <c r="H31" s="3">
        <f t="shared" si="0"/>
        <v>-1.4999999999999979E-3</v>
      </c>
      <c r="I31" s="3">
        <f t="shared" si="4"/>
        <v>3.5355339059327355E-3</v>
      </c>
      <c r="L31" s="3"/>
      <c r="M31" s="3"/>
    </row>
    <row r="32" spans="1:13" x14ac:dyDescent="0.25">
      <c r="A32" t="s">
        <v>19</v>
      </c>
      <c r="B32" s="3">
        <f t="shared" si="1"/>
        <v>6.5000000000000058E-3</v>
      </c>
      <c r="C32" s="3">
        <f t="shared" si="2"/>
        <v>3.5355339059327385E-3</v>
      </c>
      <c r="D32" s="3">
        <f t="shared" si="0"/>
        <v>5.4999999999999979E-3</v>
      </c>
      <c r="E32" s="3">
        <f t="shared" si="2"/>
        <v>7.0710678118653841E-4</v>
      </c>
      <c r="F32" s="3">
        <f t="shared" si="0"/>
        <v>8.4999999999999937E-3</v>
      </c>
      <c r="G32" s="3">
        <f t="shared" si="3"/>
        <v>4.9497474683058377E-3</v>
      </c>
      <c r="H32" s="3">
        <f t="shared" si="0"/>
        <v>4.9999999999999351E-4</v>
      </c>
      <c r="I32" s="3">
        <f t="shared" si="4"/>
        <v>7.0710678118653841E-4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9.5000000000000084E-3</v>
      </c>
      <c r="C33" s="3">
        <f t="shared" si="2"/>
        <v>1.9091883092036802E-2</v>
      </c>
      <c r="D33" s="3">
        <f t="shared" si="0"/>
        <v>2.9999999999999957E-3</v>
      </c>
      <c r="E33" s="3">
        <f t="shared" si="2"/>
        <v>7.071067811865471E-3</v>
      </c>
      <c r="F33" s="3">
        <f t="shared" si="0"/>
        <v>1.8500000000000003E-2</v>
      </c>
      <c r="G33" s="3">
        <f t="shared" si="3"/>
        <v>2.3334523779156069E-2</v>
      </c>
      <c r="H33" s="3">
        <f t="shared" si="0"/>
        <v>2.5000000000000022E-3</v>
      </c>
      <c r="I33" s="3">
        <f t="shared" si="4"/>
        <v>7.0710678118654816E-4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0.10299999999999999</v>
      </c>
      <c r="C3">
        <v>9.0999999999999998E-2</v>
      </c>
      <c r="D3">
        <v>8.3000000000000004E-2</v>
      </c>
      <c r="E3">
        <v>9.7000000000000003E-2</v>
      </c>
      <c r="F3">
        <v>0.154</v>
      </c>
      <c r="G3">
        <v>0.129</v>
      </c>
      <c r="H3">
        <v>8.5000000000000006E-2</v>
      </c>
      <c r="I3">
        <v>6.5000000000000002E-2</v>
      </c>
      <c r="J3">
        <v>5.0999999999999997E-2</v>
      </c>
      <c r="K3">
        <v>4.9000000000000002E-2</v>
      </c>
      <c r="L3">
        <v>0.121</v>
      </c>
      <c r="M3">
        <v>9.2999999999999999E-2</v>
      </c>
    </row>
    <row r="4" spans="1:13" x14ac:dyDescent="0.25">
      <c r="A4" t="s">
        <v>14</v>
      </c>
      <c r="B4">
        <v>0.13900000000000001</v>
      </c>
      <c r="C4">
        <v>0.14399999999999999</v>
      </c>
      <c r="D4">
        <v>0.08</v>
      </c>
      <c r="E4">
        <v>9.0999999999999998E-2</v>
      </c>
      <c r="F4">
        <v>0.153</v>
      </c>
      <c r="G4">
        <v>0.13500000000000001</v>
      </c>
      <c r="H4">
        <v>9.9000000000000005E-2</v>
      </c>
      <c r="I4">
        <v>9.6000000000000002E-2</v>
      </c>
      <c r="J4">
        <v>6.2E-2</v>
      </c>
      <c r="K4">
        <v>5.5E-2</v>
      </c>
      <c r="L4">
        <v>9.4E-2</v>
      </c>
      <c r="M4">
        <v>0.111</v>
      </c>
    </row>
    <row r="5" spans="1:13" x14ac:dyDescent="0.25">
      <c r="A5" t="s">
        <v>15</v>
      </c>
      <c r="B5">
        <v>0.14499999999999999</v>
      </c>
      <c r="C5">
        <v>0.153</v>
      </c>
      <c r="D5">
        <v>8.5999999999999993E-2</v>
      </c>
      <c r="E5">
        <v>8.1000000000000003E-2</v>
      </c>
      <c r="F5">
        <v>0.108</v>
      </c>
      <c r="G5">
        <v>0.112</v>
      </c>
      <c r="H5">
        <v>8.1000000000000003E-2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25">
      <c r="A6" t="s">
        <v>16</v>
      </c>
      <c r="B6">
        <v>0.18099999999999999</v>
      </c>
      <c r="C6">
        <v>0.19400000000000001</v>
      </c>
      <c r="D6">
        <v>8.4000000000000005E-2</v>
      </c>
      <c r="E6">
        <v>9.2999999999999999E-2</v>
      </c>
      <c r="F6">
        <v>0.127</v>
      </c>
      <c r="G6">
        <v>0.221</v>
      </c>
      <c r="H6">
        <v>7.0999999999999994E-2</v>
      </c>
      <c r="I6">
        <v>0.112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0.13600000000000001</v>
      </c>
      <c r="C7">
        <v>0.14799999999999999</v>
      </c>
      <c r="D7">
        <v>8.3000000000000004E-2</v>
      </c>
      <c r="E7">
        <v>9.9000000000000005E-2</v>
      </c>
      <c r="F7">
        <v>0.124</v>
      </c>
      <c r="G7">
        <v>0.121</v>
      </c>
      <c r="H7">
        <v>0.107</v>
      </c>
      <c r="I7">
        <v>7.8E-2</v>
      </c>
      <c r="J7">
        <v>6.9000000000000006E-2</v>
      </c>
      <c r="K7">
        <v>7.0999999999999994E-2</v>
      </c>
      <c r="L7">
        <v>0.63600000000000001</v>
      </c>
      <c r="M7">
        <v>9.6000000000000002E-2</v>
      </c>
    </row>
    <row r="8" spans="1:13" x14ac:dyDescent="0.25">
      <c r="A8" t="s">
        <v>18</v>
      </c>
      <c r="B8">
        <v>0.123</v>
      </c>
      <c r="C8">
        <v>9.5000000000000001E-2</v>
      </c>
      <c r="D8">
        <v>7.5999999999999998E-2</v>
      </c>
      <c r="E8">
        <v>8.3000000000000004E-2</v>
      </c>
      <c r="F8">
        <v>0.107</v>
      </c>
      <c r="G8">
        <v>8.5000000000000006E-2</v>
      </c>
      <c r="H8">
        <v>7.5999999999999998E-2</v>
      </c>
      <c r="I8">
        <v>5.6000000000000001E-2</v>
      </c>
      <c r="J8">
        <v>4.9000000000000002E-2</v>
      </c>
      <c r="K8">
        <v>6.3E-2</v>
      </c>
      <c r="L8">
        <v>0.35699999999999998</v>
      </c>
      <c r="M8">
        <v>9.8000000000000004E-2</v>
      </c>
    </row>
    <row r="9" spans="1:13" x14ac:dyDescent="0.25">
      <c r="A9" t="s">
        <v>19</v>
      </c>
      <c r="B9">
        <v>0.154</v>
      </c>
      <c r="C9">
        <v>0.17100000000000001</v>
      </c>
      <c r="D9">
        <v>0.105</v>
      </c>
      <c r="E9">
        <v>0.111</v>
      </c>
      <c r="F9">
        <v>0.122</v>
      </c>
      <c r="G9">
        <v>0.111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25">
      <c r="A10" t="s">
        <v>20</v>
      </c>
      <c r="B10">
        <v>0.214</v>
      </c>
      <c r="C10">
        <v>0.22800000000000001</v>
      </c>
      <c r="D10">
        <v>0.10299999999999999</v>
      </c>
      <c r="E10">
        <v>0.12</v>
      </c>
      <c r="F10">
        <v>0.26300000000000001</v>
      </c>
      <c r="G10">
        <v>0.16</v>
      </c>
      <c r="H10">
        <v>9.9000000000000005E-2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4.9999999999999906E-3</v>
      </c>
      <c r="C15" s="3">
        <f xml:space="preserve"> C3 - '+0 seg'!$C$3</f>
        <v>5.9999999999999915E-3</v>
      </c>
      <c r="D15" s="3">
        <f xml:space="preserve"> D3 - '+0 seg'!$D$3</f>
        <v>1.0000000000000009E-2</v>
      </c>
      <c r="E15" s="3">
        <f xml:space="preserve"> E3 - '+0 seg'!$E$3</f>
        <v>1.0000000000000009E-2</v>
      </c>
      <c r="F15" s="3">
        <f xml:space="preserve"> F3 - '+0 seg'!$F$3</f>
        <v>7.0000000000000062E-3</v>
      </c>
      <c r="G15" s="3">
        <f xml:space="preserve"> G3 - '+0 seg'!$G$3</f>
        <v>1.3999999999999999E-2</v>
      </c>
      <c r="H15" s="3">
        <f xml:space="preserve"> H3 - '+0 seg'!$H$3</f>
        <v>2.0000000000000018E-3</v>
      </c>
      <c r="I15" s="3">
        <f xml:space="preserve"> I3 - '+0 seg'!$I$3</f>
        <v>4.0000000000000036E-3</v>
      </c>
      <c r="J15" s="3">
        <f xml:space="preserve"> J3 - '+0 seg'!$J$3</f>
        <v>0</v>
      </c>
      <c r="K15" s="3">
        <f xml:space="preserve"> K3 - '+0 seg'!$K$3</f>
        <v>-2.9999999999999957E-3</v>
      </c>
      <c r="L15" s="3">
        <f xml:space="preserve"> L3 - '+0 seg'!$L$3</f>
        <v>1.0000000000000009E-3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1.100000000000001E-2</v>
      </c>
      <c r="C16" s="3">
        <f xml:space="preserve"> C4 - '+0 seg'!$C$4</f>
        <v>3.9999999999999758E-3</v>
      </c>
      <c r="D16" s="3">
        <f xml:space="preserve"> D4 - '+0 seg'!$D$4</f>
        <v>4.0000000000000036E-3</v>
      </c>
      <c r="E16" s="3">
        <f xml:space="preserve"> E4 - '+0 seg'!$E$4</f>
        <v>6.9999999999999923E-3</v>
      </c>
      <c r="F16" s="3">
        <f xml:space="preserve"> F4 - '+0 seg'!$F$4</f>
        <v>7.0000000000000062E-3</v>
      </c>
      <c r="G16" s="3">
        <f xml:space="preserve"> G4 - '+0 seg'!$G$4</f>
        <v>8.0000000000000071E-3</v>
      </c>
      <c r="H16" s="3">
        <f xml:space="preserve"> H4 - '+0 seg'!$H$4</f>
        <v>8.0000000000000071E-3</v>
      </c>
      <c r="I16" s="3">
        <f xml:space="preserve"> I4 - '+0 seg'!$I$4</f>
        <v>4.0000000000000036E-3</v>
      </c>
      <c r="J16" s="3">
        <f xml:space="preserve"> J4 - '+0 seg'!$J$4</f>
        <v>0</v>
      </c>
      <c r="K16" s="3">
        <f xml:space="preserve"> K4 - '+0 seg'!$K$4</f>
        <v>3.0000000000000027E-3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4.0000000000000036E-3</v>
      </c>
      <c r="C17" s="3">
        <f xml:space="preserve"> C5 - '+0 seg'!$C$5</f>
        <v>1.100000000000001E-2</v>
      </c>
      <c r="D17" s="3">
        <f xml:space="preserve"> D5 - '+0 seg'!$D$5</f>
        <v>5.9999999999999915E-3</v>
      </c>
      <c r="E17" s="3">
        <f xml:space="preserve"> E5 - '+0 seg'!$E$5</f>
        <v>1.0000000000000009E-3</v>
      </c>
      <c r="F17" s="3">
        <f xml:space="preserve"> F5 - '+0 seg'!$F$5</f>
        <v>6.9999999999999923E-3</v>
      </c>
      <c r="G17" s="3">
        <f xml:space="preserve"> G5 - '+0 seg'!$G$5</f>
        <v>-4.0000000000000036E-3</v>
      </c>
      <c r="H17" s="3">
        <f xml:space="preserve"> H5 - '+0 seg'!$H$5</f>
        <v>6.0000000000000053E-3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0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9.9999999999999811E-3</v>
      </c>
      <c r="C18" s="3">
        <f xml:space="preserve"> C6 - '+0 seg'!$C$6</f>
        <v>1.0000000000000009E-2</v>
      </c>
      <c r="D18" s="3">
        <f xml:space="preserve"> D6 - '+0 seg'!$D$6</f>
        <v>2.0000000000000018E-3</v>
      </c>
      <c r="E18" s="3">
        <f xml:space="preserve"> E6 - '+0 seg'!$E$6</f>
        <v>2.0000000000000018E-3</v>
      </c>
      <c r="F18" s="3">
        <f xml:space="preserve"> F6 - '+0 seg'!$F$6</f>
        <v>9.999999999999995E-3</v>
      </c>
      <c r="G18" s="3">
        <f xml:space="preserve"> G6 - '+0 seg'!$G$6</f>
        <v>2.1999999999999992E-2</v>
      </c>
      <c r="H18" s="3">
        <f xml:space="preserve"> H6 - '+0 seg'!$H$6</f>
        <v>2.9999999999999888E-3</v>
      </c>
      <c r="I18" s="3">
        <f xml:space="preserve"> I6 - '+0 seg'!$I$6</f>
        <v>3.0000000000000027E-3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-3.0000000000000027E-3</v>
      </c>
      <c r="D19" s="3">
        <f xml:space="preserve"> D7 - '+0 seg'!$D$7</f>
        <v>3.0000000000000027E-3</v>
      </c>
      <c r="E19" s="3">
        <f xml:space="preserve"> E7 - '+0 seg'!$E$7</f>
        <v>1.100000000000001E-2</v>
      </c>
      <c r="F19" s="3">
        <f xml:space="preserve"> F7 - '+0 seg'!$F$7</f>
        <v>1.1999999999999997E-2</v>
      </c>
      <c r="G19" s="3">
        <f xml:space="preserve"> G7 - '+0 seg'!$G$7</f>
        <v>1.8000000000000002E-2</v>
      </c>
      <c r="H19" s="3">
        <f xml:space="preserve"> H7 - '+0 seg'!$H$7</f>
        <v>1.2999999999999998E-2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1.9999999999999879E-3</v>
      </c>
      <c r="L19" s="3">
        <f xml:space="preserve"> L7 - '+0 seg'!$L$7</f>
        <v>-7.0000000000000062E-3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6.9999999999999923E-3</v>
      </c>
      <c r="C20" s="3">
        <f xml:space="preserve"> C8 - '+0 seg'!$C$8</f>
        <v>4.0000000000000036E-3</v>
      </c>
      <c r="D20" s="3">
        <f xml:space="preserve"> D8 - '+0 seg'!$D$8</f>
        <v>-3.0000000000000027E-3</v>
      </c>
      <c r="E20" s="3">
        <f xml:space="preserve"> E8 - '+0 seg'!$E$8</f>
        <v>8.0000000000000071E-3</v>
      </c>
      <c r="F20" s="3">
        <f xml:space="preserve"> F8 - '+0 seg'!$F$8</f>
        <v>1.0999999999999996E-2</v>
      </c>
      <c r="G20" s="3">
        <f xml:space="preserve"> G8 - '+0 seg'!$G$8</f>
        <v>6.0000000000000053E-3</v>
      </c>
      <c r="H20" s="3">
        <f xml:space="preserve"> H8 - '+0 seg'!$H$8</f>
        <v>0</v>
      </c>
      <c r="I20" s="3">
        <f xml:space="preserve"> I8 - '+0 seg'!$I$8</f>
        <v>-2.9999999999999957E-3</v>
      </c>
      <c r="J20" s="3">
        <f xml:space="preserve"> J8 - '+0 seg'!$J$8</f>
        <v>-1.9999999999999948E-3</v>
      </c>
      <c r="K20" s="3">
        <f xml:space="preserve"> K8 - '+0 seg'!$K$8</f>
        <v>1.0000000000000009E-3</v>
      </c>
      <c r="L20" s="3">
        <f xml:space="preserve"> L8 - '+0 seg'!$L$8</f>
        <v>-1.2000000000000011E-2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3.0000000000000027E-3</v>
      </c>
      <c r="C21" s="3">
        <f xml:space="preserve"> C9 - '+0 seg'!$C$9</f>
        <v>9.000000000000008E-3</v>
      </c>
      <c r="D21" s="3">
        <f xml:space="preserve"> D9 - '+0 seg'!$D$9</f>
        <v>4.9999999999999906E-3</v>
      </c>
      <c r="E21" s="3">
        <f xml:space="preserve"> E9 - '+0 seg'!$E$9</f>
        <v>6.0000000000000053E-3</v>
      </c>
      <c r="F21" s="3">
        <f xml:space="preserve"> F9 - '+0 seg'!$F$9</f>
        <v>5.9999999999999915E-3</v>
      </c>
      <c r="G21" s="3">
        <f xml:space="preserve"> G9 - '+0 seg'!$G$9</f>
        <v>1.2999999999999998E-2</v>
      </c>
      <c r="H21" s="3">
        <f xml:space="preserve"> H9 - '+0 seg'!$H$9</f>
        <v>9.9999999999998701E-4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1.0000000000000009E-3</v>
      </c>
    </row>
    <row r="22" spans="1:13" x14ac:dyDescent="0.25">
      <c r="A22" t="s">
        <v>20</v>
      </c>
      <c r="B22" s="3">
        <f xml:space="preserve"> B10 - '+0 seg'!$B$10</f>
        <v>-5.0000000000000044E-3</v>
      </c>
      <c r="C22" s="3">
        <f xml:space="preserve"> C10 - '+0 seg'!$C$10</f>
        <v>2.300000000000002E-2</v>
      </c>
      <c r="D22" s="3">
        <f xml:space="preserve"> D10 - '+0 seg'!$D$10</f>
        <v>-2.0000000000000018E-3</v>
      </c>
      <c r="E22" s="3">
        <f xml:space="preserve"> E10 - '+0 seg'!$E$10</f>
        <v>7.9999999999999932E-3</v>
      </c>
      <c r="F22" s="3">
        <f xml:space="preserve"> F10 - '+0 seg'!$F$10</f>
        <v>3.7000000000000005E-2</v>
      </c>
      <c r="G22" s="3">
        <f xml:space="preserve"> G10 - '+0 seg'!$G$10</f>
        <v>1.0000000000000009E-3</v>
      </c>
      <c r="H22" s="3">
        <f xml:space="preserve"> H10 - '+0 seg'!$H$10</f>
        <v>2.0000000000000018E-3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5.499999999999991E-3</v>
      </c>
      <c r="C26" s="3">
        <f>STDEV(B15:C15)</f>
        <v>7.0710678118654816E-4</v>
      </c>
      <c r="D26" s="3">
        <f t="shared" ref="D26:H33" si="0">AVERAGE(D15:E15)</f>
        <v>1.0000000000000009E-2</v>
      </c>
      <c r="E26" s="3">
        <f>STDEV(D15:E15)</f>
        <v>0</v>
      </c>
      <c r="F26" s="3">
        <f t="shared" si="0"/>
        <v>1.0500000000000002E-2</v>
      </c>
      <c r="G26" s="3">
        <f>STDEV(F15:G15)</f>
        <v>4.9497474683058273E-3</v>
      </c>
      <c r="H26" s="3">
        <f t="shared" si="0"/>
        <v>3.0000000000000027E-3</v>
      </c>
      <c r="I26" s="3">
        <f>STDEV(H15:I15)</f>
        <v>1.4142135623730963E-3</v>
      </c>
      <c r="J26" s="3">
        <f>AVERAGE(J15:J16)</f>
        <v>0</v>
      </c>
      <c r="K26" s="3">
        <f>STDEV(J15:J16)</f>
        <v>0</v>
      </c>
      <c r="L26" s="3">
        <f>AVERAGE(K15:K16)</f>
        <v>3.4694469519536142E-18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7.4999999999999928E-3</v>
      </c>
      <c r="C27" s="3">
        <f t="shared" ref="C27:E33" si="2">STDEV(B16:C16)</f>
        <v>4.9497474683058576E-3</v>
      </c>
      <c r="D27" s="3">
        <f t="shared" si="0"/>
        <v>5.4999999999999979E-3</v>
      </c>
      <c r="E27" s="3">
        <f t="shared" si="2"/>
        <v>2.1213203435596346E-3</v>
      </c>
      <c r="F27" s="3">
        <f t="shared" si="0"/>
        <v>7.5000000000000067E-3</v>
      </c>
      <c r="G27" s="3">
        <f t="shared" ref="G27:G33" si="3">STDEV(F16:G16)</f>
        <v>7.0710678118654816E-4</v>
      </c>
      <c r="H27" s="3">
        <f t="shared" si="0"/>
        <v>6.0000000000000053E-3</v>
      </c>
      <c r="I27" s="3">
        <f t="shared" ref="I27:I33" si="4">STDEV(H16:I16)</f>
        <v>2.8284271247461957E-3</v>
      </c>
      <c r="L27" s="3"/>
      <c r="M27" s="3"/>
    </row>
    <row r="28" spans="1:13" x14ac:dyDescent="0.25">
      <c r="A28" t="s">
        <v>15</v>
      </c>
      <c r="B28" s="3">
        <f t="shared" si="1"/>
        <v>7.5000000000000067E-3</v>
      </c>
      <c r="C28" s="3">
        <f t="shared" si="2"/>
        <v>4.9497474683058368E-3</v>
      </c>
      <c r="D28" s="3">
        <f t="shared" si="0"/>
        <v>3.4999999999999962E-3</v>
      </c>
      <c r="E28" s="3">
        <f t="shared" si="2"/>
        <v>3.5355339059327316E-3</v>
      </c>
      <c r="F28" s="3">
        <f t="shared" si="0"/>
        <v>1.4999999999999944E-3</v>
      </c>
      <c r="G28" s="3">
        <f t="shared" si="3"/>
        <v>7.7781745930520204E-3</v>
      </c>
      <c r="H28" s="3">
        <f t="shared" si="0"/>
        <v>-5.0000000000000044E-4</v>
      </c>
      <c r="I28" s="3">
        <f t="shared" si="4"/>
        <v>9.1923881554251251E-3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9.999999999999995E-3</v>
      </c>
      <c r="C29" s="3">
        <f t="shared" si="2"/>
        <v>1.962615573354719E-17</v>
      </c>
      <c r="D29" s="3">
        <f t="shared" si="0"/>
        <v>2.0000000000000018E-3</v>
      </c>
      <c r="E29" s="3">
        <f t="shared" si="2"/>
        <v>0</v>
      </c>
      <c r="F29" s="3">
        <f t="shared" si="0"/>
        <v>1.5999999999999993E-2</v>
      </c>
      <c r="G29" s="3">
        <f t="shared" si="3"/>
        <v>8.4852813742385715E-3</v>
      </c>
      <c r="H29" s="3">
        <f t="shared" si="0"/>
        <v>2.9999999999999957E-3</v>
      </c>
      <c r="I29" s="3">
        <f t="shared" si="4"/>
        <v>9.8130778667735948E-18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-5.0000000000000044E-4</v>
      </c>
      <c r="C30" s="3">
        <f t="shared" si="2"/>
        <v>3.5355339059327407E-3</v>
      </c>
      <c r="D30" s="3">
        <f t="shared" si="0"/>
        <v>7.0000000000000062E-3</v>
      </c>
      <c r="E30" s="3">
        <f t="shared" si="2"/>
        <v>5.6568542494923853E-3</v>
      </c>
      <c r="F30" s="3">
        <f t="shared" si="0"/>
        <v>1.4999999999999999E-2</v>
      </c>
      <c r="G30" s="3">
        <f t="shared" si="3"/>
        <v>4.2426406871192857E-3</v>
      </c>
      <c r="H30" s="3">
        <f t="shared" si="0"/>
        <v>3.4999999999999962E-3</v>
      </c>
      <c r="I30" s="3">
        <f t="shared" si="4"/>
        <v>1.3435028842544406E-2</v>
      </c>
      <c r="J30" s="3">
        <f>AVERAGE(J19:J20)</f>
        <v>-9.9999999999999742E-4</v>
      </c>
      <c r="K30" s="3">
        <f>STDEV(J19:J20)</f>
        <v>1.4142135623730913E-3</v>
      </c>
      <c r="L30" s="3">
        <f>AVERAGE(K19:K20)</f>
        <v>1.4999999999999944E-3</v>
      </c>
      <c r="M30" s="3">
        <f>STDEV(K19:K20)</f>
        <v>7.0710678118653841E-4</v>
      </c>
    </row>
    <row r="31" spans="1:13" x14ac:dyDescent="0.25">
      <c r="A31" t="s">
        <v>18</v>
      </c>
      <c r="B31" s="3">
        <f t="shared" si="1"/>
        <v>5.4999999999999979E-3</v>
      </c>
      <c r="C31" s="3">
        <f t="shared" si="2"/>
        <v>2.1213203435596346E-3</v>
      </c>
      <c r="D31" s="3">
        <f t="shared" si="0"/>
        <v>2.5000000000000022E-3</v>
      </c>
      <c r="E31" s="3">
        <f t="shared" si="2"/>
        <v>7.7781745930520299E-3</v>
      </c>
      <c r="F31" s="3">
        <f t="shared" si="0"/>
        <v>8.5000000000000006E-3</v>
      </c>
      <c r="G31" s="3">
        <f t="shared" si="3"/>
        <v>3.5355339059327307E-3</v>
      </c>
      <c r="H31" s="3">
        <f t="shared" si="0"/>
        <v>-1.4999999999999979E-3</v>
      </c>
      <c r="I31" s="3">
        <f t="shared" si="4"/>
        <v>2.1213203435596394E-3</v>
      </c>
      <c r="L31" s="3"/>
      <c r="M31" s="3"/>
    </row>
    <row r="32" spans="1:13" x14ac:dyDescent="0.25">
      <c r="A32" t="s">
        <v>19</v>
      </c>
      <c r="B32" s="3">
        <f t="shared" si="1"/>
        <v>6.0000000000000053E-3</v>
      </c>
      <c r="C32" s="3">
        <f t="shared" si="2"/>
        <v>4.2426406871192892E-3</v>
      </c>
      <c r="D32" s="3">
        <f t="shared" si="0"/>
        <v>5.4999999999999979E-3</v>
      </c>
      <c r="E32" s="3">
        <f t="shared" si="2"/>
        <v>7.0710678118655803E-4</v>
      </c>
      <c r="F32" s="3">
        <f t="shared" si="0"/>
        <v>9.4999999999999946E-3</v>
      </c>
      <c r="G32" s="3">
        <f t="shared" si="3"/>
        <v>4.9497474683058351E-3</v>
      </c>
      <c r="H32" s="3">
        <f t="shared" si="0"/>
        <v>4.9999999999999351E-4</v>
      </c>
      <c r="I32" s="3">
        <f t="shared" si="4"/>
        <v>7.0710678118653841E-4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9.000000000000008E-3</v>
      </c>
      <c r="C33" s="3">
        <f t="shared" si="2"/>
        <v>1.9798989873223351E-2</v>
      </c>
      <c r="D33" s="3">
        <f t="shared" si="0"/>
        <v>2.9999999999999957E-3</v>
      </c>
      <c r="E33" s="3">
        <f t="shared" si="2"/>
        <v>7.071067811865471E-3</v>
      </c>
      <c r="F33" s="3">
        <f t="shared" si="0"/>
        <v>1.9000000000000003E-2</v>
      </c>
      <c r="G33" s="3">
        <f t="shared" si="3"/>
        <v>2.5455844122715714E-2</v>
      </c>
      <c r="H33" s="3">
        <f t="shared" si="0"/>
        <v>2.0000000000000018E-3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0.105</v>
      </c>
      <c r="C3">
        <v>9.0999999999999998E-2</v>
      </c>
      <c r="D3">
        <v>8.4000000000000005E-2</v>
      </c>
      <c r="E3">
        <v>9.5000000000000001E-2</v>
      </c>
      <c r="F3">
        <v>0.154</v>
      </c>
      <c r="G3">
        <v>0.13</v>
      </c>
      <c r="H3">
        <v>8.5000000000000006E-2</v>
      </c>
      <c r="I3">
        <v>6.4000000000000001E-2</v>
      </c>
      <c r="J3">
        <v>5.0999999999999997E-2</v>
      </c>
      <c r="K3">
        <v>4.9000000000000002E-2</v>
      </c>
      <c r="L3">
        <v>0.121</v>
      </c>
      <c r="M3">
        <v>9.2999999999999999E-2</v>
      </c>
    </row>
    <row r="4" spans="1:13" x14ac:dyDescent="0.25">
      <c r="A4" t="s">
        <v>14</v>
      </c>
      <c r="B4">
        <v>0.13900000000000001</v>
      </c>
      <c r="C4">
        <v>0.14399999999999999</v>
      </c>
      <c r="D4">
        <v>8.1000000000000003E-2</v>
      </c>
      <c r="E4">
        <v>9.0999999999999998E-2</v>
      </c>
      <c r="F4">
        <v>0.154</v>
      </c>
      <c r="G4">
        <v>0.13600000000000001</v>
      </c>
      <c r="H4">
        <v>0.1</v>
      </c>
      <c r="I4">
        <v>9.6000000000000002E-2</v>
      </c>
      <c r="J4">
        <v>6.0999999999999999E-2</v>
      </c>
      <c r="K4">
        <v>5.5E-2</v>
      </c>
      <c r="L4">
        <v>9.4E-2</v>
      </c>
      <c r="M4">
        <v>0.111</v>
      </c>
    </row>
    <row r="5" spans="1:13" x14ac:dyDescent="0.25">
      <c r="A5" t="s">
        <v>15</v>
      </c>
      <c r="B5">
        <v>0.14399999999999999</v>
      </c>
      <c r="C5">
        <v>0.154</v>
      </c>
      <c r="D5">
        <v>8.5999999999999993E-2</v>
      </c>
      <c r="E5">
        <v>8.3000000000000004E-2</v>
      </c>
      <c r="F5">
        <v>0.109</v>
      </c>
      <c r="G5">
        <v>0.112</v>
      </c>
      <c r="H5">
        <v>8.2000000000000003E-2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25">
      <c r="A6" t="s">
        <v>16</v>
      </c>
      <c r="B6">
        <v>0.182</v>
      </c>
      <c r="C6">
        <v>0.19500000000000001</v>
      </c>
      <c r="D6">
        <v>8.4000000000000005E-2</v>
      </c>
      <c r="E6">
        <v>9.2999999999999999E-2</v>
      </c>
      <c r="F6">
        <v>0.127</v>
      </c>
      <c r="G6">
        <v>0.223</v>
      </c>
      <c r="H6">
        <v>7.0999999999999994E-2</v>
      </c>
      <c r="I6">
        <v>0.113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0.13600000000000001</v>
      </c>
      <c r="C7">
        <v>0.14699999999999999</v>
      </c>
      <c r="D7">
        <v>8.4000000000000005E-2</v>
      </c>
      <c r="E7">
        <v>0.10100000000000001</v>
      </c>
      <c r="F7">
        <v>0.124</v>
      </c>
      <c r="G7">
        <v>0.121</v>
      </c>
      <c r="H7">
        <v>0.107</v>
      </c>
      <c r="I7">
        <v>7.8E-2</v>
      </c>
      <c r="J7">
        <v>6.8000000000000005E-2</v>
      </c>
      <c r="K7">
        <v>7.0999999999999994E-2</v>
      </c>
      <c r="L7">
        <v>0.63300000000000001</v>
      </c>
      <c r="M7">
        <v>9.6000000000000002E-2</v>
      </c>
    </row>
    <row r="8" spans="1:13" x14ac:dyDescent="0.25">
      <c r="A8" t="s">
        <v>18</v>
      </c>
      <c r="B8">
        <v>0.124</v>
      </c>
      <c r="C8">
        <v>9.5000000000000001E-2</v>
      </c>
      <c r="D8">
        <v>7.5999999999999998E-2</v>
      </c>
      <c r="E8">
        <v>8.4000000000000005E-2</v>
      </c>
      <c r="F8">
        <v>0.108</v>
      </c>
      <c r="G8">
        <v>8.5999999999999993E-2</v>
      </c>
      <c r="H8">
        <v>7.5999999999999998E-2</v>
      </c>
      <c r="I8">
        <v>5.5E-2</v>
      </c>
      <c r="J8">
        <v>4.9000000000000002E-2</v>
      </c>
      <c r="K8">
        <v>6.2E-2</v>
      </c>
      <c r="L8">
        <v>0.35299999999999998</v>
      </c>
      <c r="M8">
        <v>9.8000000000000004E-2</v>
      </c>
    </row>
    <row r="9" spans="1:13" x14ac:dyDescent="0.25">
      <c r="A9" t="s">
        <v>19</v>
      </c>
      <c r="B9">
        <v>0.156</v>
      </c>
      <c r="C9">
        <v>0.17100000000000001</v>
      </c>
      <c r="D9">
        <v>0.106</v>
      </c>
      <c r="E9">
        <v>0.111</v>
      </c>
      <c r="F9">
        <v>0.123</v>
      </c>
      <c r="G9">
        <v>0.112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0.218</v>
      </c>
      <c r="C10">
        <v>0.22900000000000001</v>
      </c>
      <c r="D10">
        <v>0.10299999999999999</v>
      </c>
      <c r="E10">
        <v>0.123</v>
      </c>
      <c r="F10">
        <v>0.26400000000000001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6.9999999999999923E-3</v>
      </c>
      <c r="C15" s="3">
        <f xml:space="preserve"> C3 - '+0 seg'!$C$3</f>
        <v>5.9999999999999915E-3</v>
      </c>
      <c r="D15" s="3">
        <f xml:space="preserve"> D3 - '+0 seg'!$D$3</f>
        <v>1.100000000000001E-2</v>
      </c>
      <c r="E15" s="3">
        <f xml:space="preserve"> E3 - '+0 seg'!$E$3</f>
        <v>8.0000000000000071E-3</v>
      </c>
      <c r="F15" s="3">
        <f xml:space="preserve"> F3 - '+0 seg'!$F$3</f>
        <v>7.0000000000000062E-3</v>
      </c>
      <c r="G15" s="3">
        <f xml:space="preserve"> G3 - '+0 seg'!$G$3</f>
        <v>1.4999999999999999E-2</v>
      </c>
      <c r="H15" s="3">
        <f xml:space="preserve"> H3 - '+0 seg'!$H$3</f>
        <v>2.0000000000000018E-3</v>
      </c>
      <c r="I15" s="3">
        <f xml:space="preserve"> I3 - '+0 seg'!$I$3</f>
        <v>3.0000000000000027E-3</v>
      </c>
      <c r="J15" s="3">
        <f xml:space="preserve"> J3 - '+0 seg'!$J$3</f>
        <v>0</v>
      </c>
      <c r="K15" s="3">
        <f xml:space="preserve"> K3 - '+0 seg'!$K$3</f>
        <v>-2.9999999999999957E-3</v>
      </c>
      <c r="L15" s="3">
        <f xml:space="preserve"> L3 - '+0 seg'!$L$3</f>
        <v>1.0000000000000009E-3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1.100000000000001E-2</v>
      </c>
      <c r="C16" s="3">
        <f xml:space="preserve"> C4 - '+0 seg'!$C$4</f>
        <v>3.9999999999999758E-3</v>
      </c>
      <c r="D16" s="3">
        <f xml:space="preserve"> D4 - '+0 seg'!$D$4</f>
        <v>5.0000000000000044E-3</v>
      </c>
      <c r="E16" s="3">
        <f xml:space="preserve"> E4 - '+0 seg'!$E$4</f>
        <v>6.9999999999999923E-3</v>
      </c>
      <c r="F16" s="3">
        <f xml:space="preserve"> F4 - '+0 seg'!$F$4</f>
        <v>8.0000000000000071E-3</v>
      </c>
      <c r="G16" s="3">
        <f xml:space="preserve"> G4 - '+0 seg'!$G$4</f>
        <v>9.000000000000008E-3</v>
      </c>
      <c r="H16" s="3">
        <f xml:space="preserve"> H4 - '+0 seg'!$H$4</f>
        <v>9.000000000000008E-3</v>
      </c>
      <c r="I16" s="3">
        <f xml:space="preserve"> I4 - '+0 seg'!$I$4</f>
        <v>4.0000000000000036E-3</v>
      </c>
      <c r="J16" s="3">
        <f xml:space="preserve"> J4 - '+0 seg'!$J$4</f>
        <v>-1.0000000000000009E-3</v>
      </c>
      <c r="K16" s="3">
        <f xml:space="preserve"> K4 - '+0 seg'!$K$4</f>
        <v>3.0000000000000027E-3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3.0000000000000027E-3</v>
      </c>
      <c r="C17" s="3">
        <f xml:space="preserve"> C5 - '+0 seg'!$C$5</f>
        <v>1.2000000000000011E-2</v>
      </c>
      <c r="D17" s="3">
        <f xml:space="preserve"> D5 - '+0 seg'!$D$5</f>
        <v>5.9999999999999915E-3</v>
      </c>
      <c r="E17" s="3">
        <f xml:space="preserve"> E5 - '+0 seg'!$E$5</f>
        <v>3.0000000000000027E-3</v>
      </c>
      <c r="F17" s="3">
        <f xml:space="preserve"> F5 - '+0 seg'!$F$5</f>
        <v>7.9999999999999932E-3</v>
      </c>
      <c r="G17" s="3">
        <f xml:space="preserve"> G5 - '+0 seg'!$G$5</f>
        <v>-4.0000000000000036E-3</v>
      </c>
      <c r="H17" s="3">
        <f xml:space="preserve"> H5 - '+0 seg'!$H$5</f>
        <v>7.0000000000000062E-3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1.0000000000000009E-3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1.0999999999999982E-2</v>
      </c>
      <c r="C18" s="3">
        <f xml:space="preserve"> C6 - '+0 seg'!$C$6</f>
        <v>1.100000000000001E-2</v>
      </c>
      <c r="D18" s="3">
        <f xml:space="preserve"> D6 - '+0 seg'!$D$6</f>
        <v>2.0000000000000018E-3</v>
      </c>
      <c r="E18" s="3">
        <f xml:space="preserve"> E6 - '+0 seg'!$E$6</f>
        <v>2.0000000000000018E-3</v>
      </c>
      <c r="F18" s="3">
        <f xml:space="preserve"> F6 - '+0 seg'!$F$6</f>
        <v>9.999999999999995E-3</v>
      </c>
      <c r="G18" s="3">
        <f xml:space="preserve"> G6 - '+0 seg'!$G$6</f>
        <v>2.3999999999999994E-2</v>
      </c>
      <c r="H18" s="3">
        <f xml:space="preserve"> H6 - '+0 seg'!$H$6</f>
        <v>2.9999999999999888E-3</v>
      </c>
      <c r="I18" s="3">
        <f xml:space="preserve"> I6 - '+0 seg'!$I$6</f>
        <v>4.0000000000000036E-3</v>
      </c>
      <c r="J18" s="3">
        <f xml:space="preserve"> J6 - '+0 seg'!$J$6</f>
        <v>1.0000000000000009E-3</v>
      </c>
      <c r="K18" s="3">
        <f xml:space="preserve"> K6 - '+0 seg'!$K$6</f>
        <v>1.0000000000000009E-3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2.0000000000000018E-3</v>
      </c>
      <c r="C19" s="3">
        <f xml:space="preserve"> C7 - '+0 seg'!$C$7</f>
        <v>-4.0000000000000036E-3</v>
      </c>
      <c r="D19" s="3">
        <f xml:space="preserve"> D7 - '+0 seg'!$D$7</f>
        <v>4.0000000000000036E-3</v>
      </c>
      <c r="E19" s="3">
        <f xml:space="preserve"> E7 - '+0 seg'!$E$7</f>
        <v>1.3000000000000012E-2</v>
      </c>
      <c r="F19" s="3">
        <f xml:space="preserve"> F7 - '+0 seg'!$F$7</f>
        <v>1.1999999999999997E-2</v>
      </c>
      <c r="G19" s="3">
        <f xml:space="preserve"> G7 - '+0 seg'!$G$7</f>
        <v>1.8000000000000002E-2</v>
      </c>
      <c r="H19" s="3">
        <f xml:space="preserve"> H7 - '+0 seg'!$H$7</f>
        <v>1.2999999999999998E-2</v>
      </c>
      <c r="I19" s="3">
        <f xml:space="preserve"> I7 - '+0 seg'!$I$7</f>
        <v>-6.0000000000000053E-3</v>
      </c>
      <c r="J19" s="3">
        <f xml:space="preserve"> J7 - '+0 seg'!$J$7</f>
        <v>-1.0000000000000009E-3</v>
      </c>
      <c r="K19" s="3">
        <f xml:space="preserve"> K7 - '+0 seg'!$K$7</f>
        <v>1.9999999999999879E-3</v>
      </c>
      <c r="L19" s="3">
        <f xml:space="preserve"> L7 - '+0 seg'!$L$7</f>
        <v>-1.0000000000000009E-2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7.9999999999999932E-3</v>
      </c>
      <c r="C20" s="3">
        <f xml:space="preserve"> C8 - '+0 seg'!$C$8</f>
        <v>4.0000000000000036E-3</v>
      </c>
      <c r="D20" s="3">
        <f xml:space="preserve"> D8 - '+0 seg'!$D$8</f>
        <v>-3.0000000000000027E-3</v>
      </c>
      <c r="E20" s="3">
        <f xml:space="preserve"> E8 - '+0 seg'!$E$8</f>
        <v>9.000000000000008E-3</v>
      </c>
      <c r="F20" s="3">
        <f xml:space="preserve"> F8 - '+0 seg'!$F$8</f>
        <v>1.1999999999999997E-2</v>
      </c>
      <c r="G20" s="3">
        <f xml:space="preserve"> G8 - '+0 seg'!$G$8</f>
        <v>6.9999999999999923E-3</v>
      </c>
      <c r="H20" s="3">
        <f xml:space="preserve"> H8 - '+0 seg'!$H$8</f>
        <v>0</v>
      </c>
      <c r="I20" s="3">
        <f xml:space="preserve"> I8 - '+0 seg'!$I$8</f>
        <v>-3.9999999999999966E-3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-1.6000000000000014E-2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5.0000000000000044E-3</v>
      </c>
      <c r="C21" s="3">
        <f xml:space="preserve"> C9 - '+0 seg'!$C$9</f>
        <v>9.000000000000008E-3</v>
      </c>
      <c r="D21" s="3">
        <f xml:space="preserve"> D9 - '+0 seg'!$D$9</f>
        <v>5.9999999999999915E-3</v>
      </c>
      <c r="E21" s="3">
        <f xml:space="preserve"> E9 - '+0 seg'!$E$9</f>
        <v>6.0000000000000053E-3</v>
      </c>
      <c r="F21" s="3">
        <f xml:space="preserve"> F9 - '+0 seg'!$F$9</f>
        <v>6.9999999999999923E-3</v>
      </c>
      <c r="G21" s="3">
        <f xml:space="preserve"> G9 - '+0 seg'!$G$9</f>
        <v>1.3999999999999999E-2</v>
      </c>
      <c r="H21" s="3">
        <f xml:space="preserve"> H9 - '+0 seg'!$H$9</f>
        <v>0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-1.0000000000000009E-3</v>
      </c>
      <c r="C22" s="3">
        <f xml:space="preserve"> C10 - '+0 seg'!$C$10</f>
        <v>2.4000000000000021E-2</v>
      </c>
      <c r="D22" s="3">
        <f xml:space="preserve"> D10 - '+0 seg'!$D$10</f>
        <v>-2.0000000000000018E-3</v>
      </c>
      <c r="E22" s="3">
        <f xml:space="preserve"> E10 - '+0 seg'!$E$10</f>
        <v>1.0999999999999996E-2</v>
      </c>
      <c r="F22" s="3">
        <f xml:space="preserve"> F10 - '+0 seg'!$F$10</f>
        <v>3.8000000000000006E-2</v>
      </c>
      <c r="G22" s="3">
        <f xml:space="preserve"> G10 - '+0 seg'!$G$10</f>
        <v>2.0000000000000018E-3</v>
      </c>
      <c r="H22" s="3">
        <f xml:space="preserve"> H10 - '+0 seg'!$H$10</f>
        <v>3.0000000000000027E-3</v>
      </c>
      <c r="I22" s="3">
        <f xml:space="preserve"> I10 - '+0 seg'!$I$10</f>
        <v>2.0000000000000018E-3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6.4999999999999919E-3</v>
      </c>
      <c r="C26" s="3">
        <f>STDEV(B15:C15)</f>
        <v>7.0710678118654816E-4</v>
      </c>
      <c r="D26" s="3">
        <f t="shared" ref="D26:H33" si="0">AVERAGE(D15:E15)</f>
        <v>9.5000000000000084E-3</v>
      </c>
      <c r="E26" s="3">
        <f>STDEV(D15:E15)</f>
        <v>2.1213203435596446E-3</v>
      </c>
      <c r="F26" s="3">
        <f t="shared" si="0"/>
        <v>1.1000000000000003E-2</v>
      </c>
      <c r="G26" s="3">
        <f>STDEV(F15:G15)</f>
        <v>5.6568542494923775E-3</v>
      </c>
      <c r="H26" s="3">
        <f t="shared" si="0"/>
        <v>2.5000000000000022E-3</v>
      </c>
      <c r="I26" s="3">
        <f>STDEV(H15:I15)</f>
        <v>7.0710678118654816E-4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3.4694469519536142E-18</v>
      </c>
      <c r="M26" s="3">
        <f>STDEV(K15:K16)</f>
        <v>4.242640687119284E-3</v>
      </c>
    </row>
    <row r="27" spans="1:13" x14ac:dyDescent="0.25">
      <c r="A27" t="s">
        <v>14</v>
      </c>
      <c r="B27" s="3">
        <f t="shared" ref="B27:B33" si="1">AVERAGE(B16:C16)</f>
        <v>7.4999999999999928E-3</v>
      </c>
      <c r="C27" s="3">
        <f t="shared" ref="C27:E33" si="2">STDEV(B16:C16)</f>
        <v>4.9497474683058576E-3</v>
      </c>
      <c r="D27" s="3">
        <f t="shared" si="0"/>
        <v>5.9999999999999984E-3</v>
      </c>
      <c r="E27" s="3">
        <f t="shared" si="2"/>
        <v>1.4142135623730866E-3</v>
      </c>
      <c r="F27" s="3">
        <f t="shared" si="0"/>
        <v>8.5000000000000075E-3</v>
      </c>
      <c r="G27" s="3">
        <f t="shared" ref="G27:G33" si="3">STDEV(F16:G16)</f>
        <v>7.0710678118654816E-4</v>
      </c>
      <c r="H27" s="3">
        <f t="shared" si="0"/>
        <v>6.5000000000000058E-3</v>
      </c>
      <c r="I27" s="3">
        <f t="shared" ref="I27:I33" si="4">STDEV(H16:I16)</f>
        <v>3.5355339059327385E-3</v>
      </c>
      <c r="L27" s="3"/>
      <c r="M27" s="3"/>
    </row>
    <row r="28" spans="1:13" x14ac:dyDescent="0.25">
      <c r="A28" t="s">
        <v>15</v>
      </c>
      <c r="B28" s="3">
        <f t="shared" si="1"/>
        <v>7.5000000000000067E-3</v>
      </c>
      <c r="C28" s="3">
        <f t="shared" si="2"/>
        <v>6.3639610306789312E-3</v>
      </c>
      <c r="D28" s="3">
        <f t="shared" si="0"/>
        <v>4.4999999999999971E-3</v>
      </c>
      <c r="E28" s="3">
        <f t="shared" si="2"/>
        <v>2.1213203435596346E-3</v>
      </c>
      <c r="F28" s="3">
        <f t="shared" si="0"/>
        <v>1.9999999999999948E-3</v>
      </c>
      <c r="G28" s="3">
        <f t="shared" si="3"/>
        <v>8.485281374238568E-3</v>
      </c>
      <c r="H28" s="3">
        <f t="shared" si="0"/>
        <v>0</v>
      </c>
      <c r="I28" s="3">
        <f t="shared" si="4"/>
        <v>9.8994949366116736E-3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1.0999999999999996E-2</v>
      </c>
      <c r="C29" s="3">
        <f t="shared" si="2"/>
        <v>1.962615573354719E-17</v>
      </c>
      <c r="D29" s="3">
        <f t="shared" si="0"/>
        <v>2.0000000000000018E-3</v>
      </c>
      <c r="E29" s="3">
        <f t="shared" si="2"/>
        <v>0</v>
      </c>
      <c r="F29" s="3">
        <f t="shared" si="0"/>
        <v>1.6999999999999994E-2</v>
      </c>
      <c r="G29" s="3">
        <f t="shared" si="3"/>
        <v>9.899494936611665E-3</v>
      </c>
      <c r="H29" s="3">
        <f t="shared" si="0"/>
        <v>3.4999999999999962E-3</v>
      </c>
      <c r="I29" s="3">
        <f t="shared" si="4"/>
        <v>7.0710678118655803E-4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-1.0000000000000009E-3</v>
      </c>
      <c r="C30" s="3">
        <f t="shared" si="2"/>
        <v>4.2426406871192892E-3</v>
      </c>
      <c r="D30" s="3">
        <f t="shared" si="0"/>
        <v>8.5000000000000075E-3</v>
      </c>
      <c r="E30" s="3">
        <f t="shared" si="2"/>
        <v>6.3639610306789347E-3</v>
      </c>
      <c r="F30" s="3">
        <f t="shared" si="0"/>
        <v>1.4999999999999999E-2</v>
      </c>
      <c r="G30" s="3">
        <f t="shared" si="3"/>
        <v>4.2426406871192857E-3</v>
      </c>
      <c r="H30" s="3">
        <f t="shared" si="0"/>
        <v>3.4999999999999962E-3</v>
      </c>
      <c r="I30" s="3">
        <f t="shared" si="4"/>
        <v>1.3435028842544406E-2</v>
      </c>
      <c r="J30" s="3">
        <f>AVERAGE(J19:J20)</f>
        <v>-1.4999999999999979E-3</v>
      </c>
      <c r="K30" s="3">
        <f>STDEV(J19:J20)</f>
        <v>7.0710678118654328E-4</v>
      </c>
      <c r="L30" s="3">
        <f>AVERAGE(K19:K20)</f>
        <v>9.9999999999999395E-4</v>
      </c>
      <c r="M30" s="3">
        <f>STDEV(K19:K20)</f>
        <v>1.4142135623730866E-3</v>
      </c>
    </row>
    <row r="31" spans="1:13" x14ac:dyDescent="0.25">
      <c r="A31" t="s">
        <v>18</v>
      </c>
      <c r="B31" s="3">
        <f t="shared" si="1"/>
        <v>5.9999999999999984E-3</v>
      </c>
      <c r="C31" s="3">
        <f t="shared" si="2"/>
        <v>2.8284271247461814E-3</v>
      </c>
      <c r="D31" s="3">
        <f t="shared" si="0"/>
        <v>3.0000000000000027E-3</v>
      </c>
      <c r="E31" s="3">
        <f t="shared" si="2"/>
        <v>8.4852813742385784E-3</v>
      </c>
      <c r="F31" s="3">
        <f t="shared" si="0"/>
        <v>9.4999999999999946E-3</v>
      </c>
      <c r="G31" s="3">
        <f t="shared" si="3"/>
        <v>3.5355339059327385E-3</v>
      </c>
      <c r="H31" s="3">
        <f t="shared" si="0"/>
        <v>-1.9999999999999983E-3</v>
      </c>
      <c r="I31" s="3">
        <f t="shared" si="4"/>
        <v>2.8284271247461874E-3</v>
      </c>
      <c r="L31" s="3"/>
      <c r="M31" s="3"/>
    </row>
    <row r="32" spans="1:13" x14ac:dyDescent="0.25">
      <c r="A32" t="s">
        <v>19</v>
      </c>
      <c r="B32" s="3">
        <f t="shared" si="1"/>
        <v>7.0000000000000062E-3</v>
      </c>
      <c r="C32" s="3">
        <f t="shared" si="2"/>
        <v>2.8284271247461935E-3</v>
      </c>
      <c r="D32" s="3">
        <f t="shared" si="0"/>
        <v>5.9999999999999984E-3</v>
      </c>
      <c r="E32" s="3">
        <f t="shared" si="2"/>
        <v>9.8130778667735948E-18</v>
      </c>
      <c r="F32" s="3">
        <f t="shared" si="0"/>
        <v>1.0499999999999995E-2</v>
      </c>
      <c r="G32" s="3">
        <f t="shared" si="3"/>
        <v>4.9497474683058412E-3</v>
      </c>
      <c r="H32" s="3">
        <f t="shared" si="0"/>
        <v>0</v>
      </c>
      <c r="I32" s="3">
        <f t="shared" si="4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1.150000000000001E-2</v>
      </c>
      <c r="C33" s="3">
        <f t="shared" si="2"/>
        <v>1.7677669529663705E-2</v>
      </c>
      <c r="D33" s="3">
        <f t="shared" si="0"/>
        <v>4.4999999999999971E-3</v>
      </c>
      <c r="E33" s="3">
        <f t="shared" si="2"/>
        <v>9.1923881554251165E-3</v>
      </c>
      <c r="F33" s="3">
        <f t="shared" si="0"/>
        <v>2.0000000000000004E-2</v>
      </c>
      <c r="G33" s="3">
        <f t="shared" si="3"/>
        <v>2.5455844122715714E-2</v>
      </c>
      <c r="H33" s="3">
        <f t="shared" si="0"/>
        <v>2.5000000000000022E-3</v>
      </c>
      <c r="I33" s="3">
        <f t="shared" si="4"/>
        <v>7.0710678118654816E-4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0.105</v>
      </c>
      <c r="C3">
        <v>9.1999999999999998E-2</v>
      </c>
      <c r="D3">
        <v>8.4000000000000005E-2</v>
      </c>
      <c r="E3">
        <v>9.4E-2</v>
      </c>
      <c r="F3">
        <v>0.155</v>
      </c>
      <c r="G3">
        <v>0.13200000000000001</v>
      </c>
      <c r="H3">
        <v>8.5999999999999993E-2</v>
      </c>
      <c r="I3">
        <v>6.4000000000000001E-2</v>
      </c>
      <c r="J3">
        <v>5.0999999999999997E-2</v>
      </c>
      <c r="K3">
        <v>4.9000000000000002E-2</v>
      </c>
      <c r="L3">
        <v>0.122</v>
      </c>
      <c r="M3">
        <v>9.2999999999999999E-2</v>
      </c>
    </row>
    <row r="4" spans="1:13" x14ac:dyDescent="0.25">
      <c r="A4" t="s">
        <v>14</v>
      </c>
      <c r="B4">
        <v>0.13400000000000001</v>
      </c>
      <c r="C4">
        <v>0.14499999999999999</v>
      </c>
      <c r="D4">
        <v>8.8999999999999996E-2</v>
      </c>
      <c r="E4">
        <v>9.1999999999999998E-2</v>
      </c>
      <c r="F4">
        <v>0.155</v>
      </c>
      <c r="G4">
        <v>0.13800000000000001</v>
      </c>
      <c r="H4">
        <v>0.1</v>
      </c>
      <c r="I4">
        <v>9.6000000000000002E-2</v>
      </c>
      <c r="J4">
        <v>6.0999999999999999E-2</v>
      </c>
      <c r="K4">
        <v>5.6000000000000001E-2</v>
      </c>
      <c r="L4">
        <v>9.4E-2</v>
      </c>
      <c r="M4">
        <v>0.111</v>
      </c>
    </row>
    <row r="5" spans="1:13" x14ac:dyDescent="0.25">
      <c r="A5" t="s">
        <v>15</v>
      </c>
      <c r="B5">
        <v>0.14599999999999999</v>
      </c>
      <c r="C5">
        <v>0.155</v>
      </c>
      <c r="D5">
        <v>8.5999999999999993E-2</v>
      </c>
      <c r="E5">
        <v>8.2000000000000003E-2</v>
      </c>
      <c r="F5">
        <v>0.111</v>
      </c>
      <c r="G5">
        <v>0.113</v>
      </c>
      <c r="H5">
        <v>0.08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25">
      <c r="A6" t="s">
        <v>16</v>
      </c>
      <c r="B6">
        <v>0.184</v>
      </c>
      <c r="C6">
        <v>0.19800000000000001</v>
      </c>
      <c r="D6">
        <v>8.4000000000000005E-2</v>
      </c>
      <c r="E6">
        <v>9.2999999999999999E-2</v>
      </c>
      <c r="F6">
        <v>0.129</v>
      </c>
      <c r="G6">
        <v>0.22600000000000001</v>
      </c>
      <c r="H6">
        <v>7.1999999999999995E-2</v>
      </c>
      <c r="I6">
        <v>0.114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0.13800000000000001</v>
      </c>
      <c r="C7">
        <v>0.153</v>
      </c>
      <c r="D7">
        <v>8.3000000000000004E-2</v>
      </c>
      <c r="E7">
        <v>0.10199999999999999</v>
      </c>
      <c r="F7">
        <v>0.125</v>
      </c>
      <c r="G7">
        <v>0.122</v>
      </c>
      <c r="H7">
        <v>0.107</v>
      </c>
      <c r="I7">
        <v>7.8E-2</v>
      </c>
      <c r="J7">
        <v>6.9000000000000006E-2</v>
      </c>
      <c r="K7">
        <v>7.0999999999999994E-2</v>
      </c>
      <c r="L7">
        <v>0.63600000000000001</v>
      </c>
      <c r="M7">
        <v>9.6000000000000002E-2</v>
      </c>
    </row>
    <row r="8" spans="1:13" x14ac:dyDescent="0.25">
      <c r="A8" t="s">
        <v>18</v>
      </c>
      <c r="B8">
        <v>0.125</v>
      </c>
      <c r="C8">
        <v>9.6000000000000002E-2</v>
      </c>
      <c r="D8">
        <v>7.4999999999999997E-2</v>
      </c>
      <c r="E8">
        <v>8.5000000000000006E-2</v>
      </c>
      <c r="F8">
        <v>0.108</v>
      </c>
      <c r="G8">
        <v>8.6999999999999994E-2</v>
      </c>
      <c r="H8">
        <v>7.4999999999999997E-2</v>
      </c>
      <c r="I8">
        <v>5.5E-2</v>
      </c>
      <c r="J8">
        <v>4.9000000000000002E-2</v>
      </c>
      <c r="K8">
        <v>6.2E-2</v>
      </c>
      <c r="L8">
        <v>0.35399999999999998</v>
      </c>
      <c r="M8">
        <v>9.8000000000000004E-2</v>
      </c>
    </row>
    <row r="9" spans="1:13" x14ac:dyDescent="0.25">
      <c r="A9" t="s">
        <v>19</v>
      </c>
      <c r="B9">
        <v>0.157</v>
      </c>
      <c r="C9">
        <v>0.17299999999999999</v>
      </c>
      <c r="D9">
        <v>0.106</v>
      </c>
      <c r="E9">
        <v>0.111</v>
      </c>
      <c r="F9">
        <v>0.124</v>
      </c>
      <c r="G9">
        <v>0.112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0.221</v>
      </c>
      <c r="C10">
        <v>0.23</v>
      </c>
      <c r="D10">
        <v>0.10299999999999999</v>
      </c>
      <c r="E10">
        <v>0.125</v>
      </c>
      <c r="F10">
        <v>0.26700000000000002</v>
      </c>
      <c r="G10">
        <v>0.16</v>
      </c>
      <c r="H10">
        <v>0.1</v>
      </c>
      <c r="I10">
        <v>9.5000000000000001E-2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6.9999999999999923E-3</v>
      </c>
      <c r="C15" s="3">
        <f xml:space="preserve"> C3 - '+0 seg'!$C$3</f>
        <v>6.9999999999999923E-3</v>
      </c>
      <c r="D15" s="3">
        <f xml:space="preserve"> D3 - '+0 seg'!$D$3</f>
        <v>1.100000000000001E-2</v>
      </c>
      <c r="E15" s="3">
        <f xml:space="preserve"> E3 - '+0 seg'!$E$3</f>
        <v>7.0000000000000062E-3</v>
      </c>
      <c r="F15" s="3">
        <f xml:space="preserve"> F3 - '+0 seg'!$F$3</f>
        <v>8.0000000000000071E-3</v>
      </c>
      <c r="G15" s="3">
        <f xml:space="preserve"> G3 - '+0 seg'!$G$3</f>
        <v>1.7000000000000001E-2</v>
      </c>
      <c r="H15" s="3">
        <f xml:space="preserve"> H3 - '+0 seg'!$H$3</f>
        <v>2.9999999999999888E-3</v>
      </c>
      <c r="I15" s="3">
        <f xml:space="preserve"> I3 - '+0 seg'!$I$3</f>
        <v>3.0000000000000027E-3</v>
      </c>
      <c r="J15" s="3">
        <f xml:space="preserve"> J3 - '+0 seg'!$J$3</f>
        <v>0</v>
      </c>
      <c r="K15" s="3">
        <f xml:space="preserve"> K3 - '+0 seg'!$K$3</f>
        <v>-2.9999999999999957E-3</v>
      </c>
      <c r="L15" s="3">
        <f xml:space="preserve"> L3 - '+0 seg'!$L$3</f>
        <v>2.0000000000000018E-3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6.0000000000000053E-3</v>
      </c>
      <c r="C16" s="3">
        <f xml:space="preserve"> C4 - '+0 seg'!$C$4</f>
        <v>4.9999999999999767E-3</v>
      </c>
      <c r="D16" s="3">
        <f xml:space="preserve"> D4 - '+0 seg'!$D$4</f>
        <v>1.2999999999999998E-2</v>
      </c>
      <c r="E16" s="3">
        <f xml:space="preserve"> E4 - '+0 seg'!$E$4</f>
        <v>7.9999999999999932E-3</v>
      </c>
      <c r="F16" s="3">
        <f xml:space="preserve"> F4 - '+0 seg'!$F$4</f>
        <v>9.000000000000008E-3</v>
      </c>
      <c r="G16" s="3">
        <f xml:space="preserve"> G4 - '+0 seg'!$G$4</f>
        <v>1.100000000000001E-2</v>
      </c>
      <c r="H16" s="3">
        <f xml:space="preserve"> H4 - '+0 seg'!$H$4</f>
        <v>9.000000000000008E-3</v>
      </c>
      <c r="I16" s="3">
        <f xml:space="preserve"> I4 - '+0 seg'!$I$4</f>
        <v>4.0000000000000036E-3</v>
      </c>
      <c r="J16" s="3">
        <f xml:space="preserve"> J4 - '+0 seg'!$J$4</f>
        <v>-1.0000000000000009E-3</v>
      </c>
      <c r="K16" s="3">
        <f xml:space="preserve"> K4 - '+0 seg'!$K$4</f>
        <v>4.0000000000000036E-3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5.0000000000000044E-3</v>
      </c>
      <c r="C17" s="3">
        <f xml:space="preserve"> C5 - '+0 seg'!$C$5</f>
        <v>1.3000000000000012E-2</v>
      </c>
      <c r="D17" s="3">
        <f xml:space="preserve"> D5 - '+0 seg'!$D$5</f>
        <v>5.9999999999999915E-3</v>
      </c>
      <c r="E17" s="3">
        <f xml:space="preserve"> E5 - '+0 seg'!$E$5</f>
        <v>2.0000000000000018E-3</v>
      </c>
      <c r="F17" s="3">
        <f xml:space="preserve"> F5 - '+0 seg'!$F$5</f>
        <v>9.999999999999995E-3</v>
      </c>
      <c r="G17" s="3">
        <f xml:space="preserve"> G5 - '+0 seg'!$G$5</f>
        <v>-3.0000000000000027E-3</v>
      </c>
      <c r="H17" s="3">
        <f xml:space="preserve"> H5 - '+0 seg'!$H$5</f>
        <v>5.0000000000000044E-3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1.0000000000000009E-3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1.2999999999999984E-2</v>
      </c>
      <c r="C18" s="3">
        <f xml:space="preserve"> C6 - '+0 seg'!$C$6</f>
        <v>1.4000000000000012E-2</v>
      </c>
      <c r="D18" s="3">
        <f xml:space="preserve"> D6 - '+0 seg'!$D$6</f>
        <v>2.0000000000000018E-3</v>
      </c>
      <c r="E18" s="3">
        <f xml:space="preserve"> E6 - '+0 seg'!$E$6</f>
        <v>2.0000000000000018E-3</v>
      </c>
      <c r="F18" s="3">
        <f xml:space="preserve"> F6 - '+0 seg'!$F$6</f>
        <v>1.1999999999999997E-2</v>
      </c>
      <c r="G18" s="3">
        <f xml:space="preserve"> G6 - '+0 seg'!$G$6</f>
        <v>2.6999999999999996E-2</v>
      </c>
      <c r="H18" s="3">
        <f xml:space="preserve"> H6 - '+0 seg'!$H$6</f>
        <v>3.9999999999999897E-3</v>
      </c>
      <c r="I18" s="3">
        <f xml:space="preserve"> I6 - '+0 seg'!$I$6</f>
        <v>5.0000000000000044E-3</v>
      </c>
      <c r="J18" s="3">
        <f xml:space="preserve"> J6 - '+0 seg'!$J$6</f>
        <v>1.0000000000000009E-3</v>
      </c>
      <c r="K18" s="3">
        <f xml:space="preserve"> K6 - '+0 seg'!$K$6</f>
        <v>0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4.0000000000000036E-3</v>
      </c>
      <c r="C19" s="3">
        <f xml:space="preserve"> C7 - '+0 seg'!$C$7</f>
        <v>2.0000000000000018E-3</v>
      </c>
      <c r="D19" s="3">
        <f xml:space="preserve"> D7 - '+0 seg'!$D$7</f>
        <v>3.0000000000000027E-3</v>
      </c>
      <c r="E19" s="3">
        <f xml:space="preserve"> E7 - '+0 seg'!$E$7</f>
        <v>1.3999999999999999E-2</v>
      </c>
      <c r="F19" s="3">
        <f xml:space="preserve"> F7 - '+0 seg'!$F$7</f>
        <v>1.2999999999999998E-2</v>
      </c>
      <c r="G19" s="3">
        <f xml:space="preserve"> G7 - '+0 seg'!$G$7</f>
        <v>1.9000000000000003E-2</v>
      </c>
      <c r="H19" s="3">
        <f xml:space="preserve"> H7 - '+0 seg'!$H$7</f>
        <v>1.2999999999999998E-2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1.9999999999999879E-3</v>
      </c>
      <c r="L19" s="3">
        <f xml:space="preserve"> L7 - '+0 seg'!$L$7</f>
        <v>-7.0000000000000062E-3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8.9999999999999941E-3</v>
      </c>
      <c r="C20" s="3">
        <f xml:space="preserve"> C8 - '+0 seg'!$C$8</f>
        <v>5.0000000000000044E-3</v>
      </c>
      <c r="D20" s="3">
        <f xml:space="preserve"> D8 - '+0 seg'!$D$8</f>
        <v>-4.0000000000000036E-3</v>
      </c>
      <c r="E20" s="3">
        <f xml:space="preserve"> E8 - '+0 seg'!$E$8</f>
        <v>1.0000000000000009E-2</v>
      </c>
      <c r="F20" s="3">
        <f xml:space="preserve"> F8 - '+0 seg'!$F$8</f>
        <v>1.1999999999999997E-2</v>
      </c>
      <c r="G20" s="3">
        <f xml:space="preserve"> G8 - '+0 seg'!$G$8</f>
        <v>7.9999999999999932E-3</v>
      </c>
      <c r="H20" s="3">
        <f xml:space="preserve"> H8 - '+0 seg'!$H$8</f>
        <v>-1.0000000000000009E-3</v>
      </c>
      <c r="I20" s="3">
        <f xml:space="preserve"> I8 - '+0 seg'!$I$8</f>
        <v>-3.9999999999999966E-3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-1.5000000000000013E-2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6.0000000000000053E-3</v>
      </c>
      <c r="C21" s="3">
        <f xml:space="preserve"> C9 - '+0 seg'!$C$9</f>
        <v>1.0999999999999982E-2</v>
      </c>
      <c r="D21" s="3">
        <f xml:space="preserve"> D9 - '+0 seg'!$D$9</f>
        <v>5.9999999999999915E-3</v>
      </c>
      <c r="E21" s="3">
        <f xml:space="preserve"> E9 - '+0 seg'!$E$9</f>
        <v>6.0000000000000053E-3</v>
      </c>
      <c r="F21" s="3">
        <f xml:space="preserve"> F9 - '+0 seg'!$F$9</f>
        <v>7.9999999999999932E-3</v>
      </c>
      <c r="G21" s="3">
        <f xml:space="preserve"> G9 - '+0 seg'!$G$9</f>
        <v>1.3999999999999999E-2</v>
      </c>
      <c r="H21" s="3">
        <f xml:space="preserve"> H9 - '+0 seg'!$H$9</f>
        <v>9.9999999999998701E-4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2.0000000000000018E-3</v>
      </c>
      <c r="C22" s="3">
        <f xml:space="preserve"> C10 - '+0 seg'!$C$10</f>
        <v>2.5000000000000022E-2</v>
      </c>
      <c r="D22" s="3">
        <f xml:space="preserve"> D10 - '+0 seg'!$D$10</f>
        <v>-2.0000000000000018E-3</v>
      </c>
      <c r="E22" s="3">
        <f xml:space="preserve"> E10 - '+0 seg'!$E$10</f>
        <v>1.2999999999999998E-2</v>
      </c>
      <c r="F22" s="3">
        <f xml:space="preserve"> F10 - '+0 seg'!$F$10</f>
        <v>4.1000000000000009E-2</v>
      </c>
      <c r="G22" s="3">
        <f xml:space="preserve"> G10 - '+0 seg'!$G$10</f>
        <v>1.0000000000000009E-3</v>
      </c>
      <c r="H22" s="3">
        <f xml:space="preserve"> H10 - '+0 seg'!$H$10</f>
        <v>3.0000000000000027E-3</v>
      </c>
      <c r="I22" s="3">
        <f xml:space="preserve"> I10 - '+0 seg'!$I$10</f>
        <v>3.0000000000000027E-3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6.9999999999999923E-3</v>
      </c>
      <c r="C26" s="3">
        <f>STDEV(B15:C15)</f>
        <v>0</v>
      </c>
      <c r="D26" s="3">
        <f t="shared" ref="D26:H33" si="0">AVERAGE(D15:E15)</f>
        <v>9.000000000000008E-3</v>
      </c>
      <c r="E26" s="3">
        <f>STDEV(D15:E15)</f>
        <v>2.8284271247461927E-3</v>
      </c>
      <c r="F26" s="3">
        <f t="shared" si="0"/>
        <v>1.2500000000000004E-2</v>
      </c>
      <c r="G26" s="3">
        <f>STDEV(F15:G15)</f>
        <v>6.3639610306789199E-3</v>
      </c>
      <c r="H26" s="3">
        <f t="shared" si="0"/>
        <v>2.9999999999999957E-3</v>
      </c>
      <c r="I26" s="3">
        <f>STDEV(H15:I15)</f>
        <v>9.8130778667735948E-18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5.0000000000000391E-4</v>
      </c>
      <c r="M26" s="3">
        <f>STDEV(K15:K16)</f>
        <v>4.9497474683058325E-3</v>
      </c>
    </row>
    <row r="27" spans="1:13" x14ac:dyDescent="0.25">
      <c r="A27" t="s">
        <v>14</v>
      </c>
      <c r="B27" s="3">
        <f t="shared" ref="B27:B33" si="1">AVERAGE(B16:C16)</f>
        <v>5.499999999999991E-3</v>
      </c>
      <c r="C27" s="3">
        <f t="shared" ref="C27:E33" si="2">STDEV(B16:C16)</f>
        <v>7.0710678118656779E-4</v>
      </c>
      <c r="D27" s="3">
        <f t="shared" si="0"/>
        <v>1.0499999999999995E-2</v>
      </c>
      <c r="E27" s="3">
        <f t="shared" si="2"/>
        <v>3.5355339059327385E-3</v>
      </c>
      <c r="F27" s="3">
        <f t="shared" si="0"/>
        <v>1.0000000000000009E-2</v>
      </c>
      <c r="G27" s="3">
        <f t="shared" ref="G27:G33" si="3">STDEV(F16:G16)</f>
        <v>1.4142135623730963E-3</v>
      </c>
      <c r="H27" s="3">
        <f t="shared" si="0"/>
        <v>6.5000000000000058E-3</v>
      </c>
      <c r="I27" s="3">
        <f t="shared" ref="I27:I33" si="4">STDEV(H16:I16)</f>
        <v>3.5355339059327385E-3</v>
      </c>
      <c r="L27" s="3"/>
      <c r="M27" s="3"/>
    </row>
    <row r="28" spans="1:13" x14ac:dyDescent="0.25">
      <c r="A28" t="s">
        <v>15</v>
      </c>
      <c r="B28" s="3">
        <f t="shared" si="1"/>
        <v>9.000000000000008E-3</v>
      </c>
      <c r="C28" s="3">
        <f t="shared" si="2"/>
        <v>5.656854249492387E-3</v>
      </c>
      <c r="D28" s="3">
        <f t="shared" si="0"/>
        <v>3.9999999999999966E-3</v>
      </c>
      <c r="E28" s="3">
        <f t="shared" si="2"/>
        <v>2.8284271247461835E-3</v>
      </c>
      <c r="F28" s="3">
        <f t="shared" si="0"/>
        <v>3.4999999999999962E-3</v>
      </c>
      <c r="G28" s="3">
        <f t="shared" si="3"/>
        <v>9.1923881554251165E-3</v>
      </c>
      <c r="H28" s="3">
        <f t="shared" si="0"/>
        <v>-1.0000000000000009E-3</v>
      </c>
      <c r="I28" s="3">
        <f t="shared" si="4"/>
        <v>8.4852813742385784E-3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1.3499999999999998E-2</v>
      </c>
      <c r="C29" s="3">
        <f t="shared" si="2"/>
        <v>7.0710678118656779E-4</v>
      </c>
      <c r="D29" s="3">
        <f t="shared" si="0"/>
        <v>2.0000000000000018E-3</v>
      </c>
      <c r="E29" s="3">
        <f t="shared" si="2"/>
        <v>0</v>
      </c>
      <c r="F29" s="3">
        <f t="shared" si="0"/>
        <v>1.9499999999999997E-2</v>
      </c>
      <c r="G29" s="3">
        <f t="shared" si="3"/>
        <v>1.0606601717798217E-2</v>
      </c>
      <c r="H29" s="3">
        <f t="shared" si="0"/>
        <v>4.4999999999999971E-3</v>
      </c>
      <c r="I29" s="3">
        <f t="shared" si="4"/>
        <v>7.0710678118655803E-4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3.0000000000000027E-3</v>
      </c>
      <c r="C30" s="3">
        <f t="shared" si="2"/>
        <v>1.4142135623730963E-3</v>
      </c>
      <c r="D30" s="3">
        <f t="shared" si="0"/>
        <v>8.5000000000000006E-3</v>
      </c>
      <c r="E30" s="3">
        <f t="shared" si="2"/>
        <v>7.7781745930520212E-3</v>
      </c>
      <c r="F30" s="3">
        <f t="shared" si="0"/>
        <v>1.6E-2</v>
      </c>
      <c r="G30" s="3">
        <f t="shared" si="3"/>
        <v>4.2426406871192987E-3</v>
      </c>
      <c r="H30" s="3">
        <f t="shared" si="0"/>
        <v>3.4999999999999962E-3</v>
      </c>
      <c r="I30" s="3">
        <f t="shared" si="4"/>
        <v>1.3435028842544406E-2</v>
      </c>
      <c r="J30" s="3">
        <f>AVERAGE(J19:J20)</f>
        <v>-9.9999999999999742E-4</v>
      </c>
      <c r="K30" s="3">
        <f>STDEV(J19:J20)</f>
        <v>1.4142135623730913E-3</v>
      </c>
      <c r="L30" s="3">
        <f>AVERAGE(K19:K20)</f>
        <v>9.9999999999999395E-4</v>
      </c>
      <c r="M30" s="3">
        <f>STDEV(K19:K20)</f>
        <v>1.4142135623730866E-3</v>
      </c>
    </row>
    <row r="31" spans="1:13" x14ac:dyDescent="0.25">
      <c r="A31" t="s">
        <v>18</v>
      </c>
      <c r="B31" s="3">
        <f t="shared" si="1"/>
        <v>6.9999999999999993E-3</v>
      </c>
      <c r="C31" s="3">
        <f t="shared" si="2"/>
        <v>2.8284271247461835E-3</v>
      </c>
      <c r="D31" s="3">
        <f t="shared" si="0"/>
        <v>3.0000000000000027E-3</v>
      </c>
      <c r="E31" s="3">
        <f t="shared" si="2"/>
        <v>9.8994949366116754E-3</v>
      </c>
      <c r="F31" s="3">
        <f t="shared" si="0"/>
        <v>9.999999999999995E-3</v>
      </c>
      <c r="G31" s="3">
        <f t="shared" si="3"/>
        <v>2.8284271247461927E-3</v>
      </c>
      <c r="H31" s="3">
        <f t="shared" si="0"/>
        <v>-2.4999999999999988E-3</v>
      </c>
      <c r="I31" s="3">
        <f t="shared" si="4"/>
        <v>2.1213203435596394E-3</v>
      </c>
      <c r="L31" s="3"/>
      <c r="M31" s="3"/>
    </row>
    <row r="32" spans="1:13" x14ac:dyDescent="0.25">
      <c r="A32" t="s">
        <v>19</v>
      </c>
      <c r="B32" s="3">
        <f t="shared" si="1"/>
        <v>8.4999999999999937E-3</v>
      </c>
      <c r="C32" s="3">
        <f t="shared" si="2"/>
        <v>3.5355339059327229E-3</v>
      </c>
      <c r="D32" s="3">
        <f t="shared" si="0"/>
        <v>5.9999999999999984E-3</v>
      </c>
      <c r="E32" s="3">
        <f t="shared" si="2"/>
        <v>9.8130778667735948E-18</v>
      </c>
      <c r="F32" s="3">
        <f t="shared" si="0"/>
        <v>1.0999999999999996E-2</v>
      </c>
      <c r="G32" s="3">
        <f t="shared" si="3"/>
        <v>4.2426406871192918E-3</v>
      </c>
      <c r="H32" s="3">
        <f t="shared" si="0"/>
        <v>4.9999999999999351E-4</v>
      </c>
      <c r="I32" s="3">
        <f t="shared" si="4"/>
        <v>7.0710678118653841E-4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1.3500000000000012E-2</v>
      </c>
      <c r="C33" s="3">
        <f t="shared" si="2"/>
        <v>1.6263455967290605E-2</v>
      </c>
      <c r="D33" s="3">
        <f t="shared" si="0"/>
        <v>5.4999999999999979E-3</v>
      </c>
      <c r="E33" s="3">
        <f t="shared" si="2"/>
        <v>1.0606601717798213E-2</v>
      </c>
      <c r="F33" s="3">
        <f t="shared" si="0"/>
        <v>2.1000000000000005E-2</v>
      </c>
      <c r="G33" s="3">
        <f t="shared" si="3"/>
        <v>2.8284271247461905E-2</v>
      </c>
      <c r="H33" s="3">
        <f t="shared" si="0"/>
        <v>3.0000000000000027E-3</v>
      </c>
      <c r="I33" s="3">
        <f t="shared" si="4"/>
        <v>0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0.106</v>
      </c>
      <c r="C3">
        <v>9.1999999999999998E-2</v>
      </c>
      <c r="D3">
        <v>8.4000000000000005E-2</v>
      </c>
      <c r="E3">
        <v>9.8000000000000004E-2</v>
      </c>
      <c r="F3">
        <v>0.156</v>
      </c>
      <c r="G3">
        <v>0.13300000000000001</v>
      </c>
      <c r="H3">
        <v>8.5999999999999993E-2</v>
      </c>
      <c r="I3">
        <v>6.4000000000000001E-2</v>
      </c>
      <c r="J3">
        <v>5.0999999999999997E-2</v>
      </c>
      <c r="K3">
        <v>4.9000000000000002E-2</v>
      </c>
      <c r="L3">
        <v>0.122</v>
      </c>
      <c r="M3">
        <v>9.2999999999999999E-2</v>
      </c>
    </row>
    <row r="4" spans="1:13" x14ac:dyDescent="0.25">
      <c r="A4" t="s">
        <v>14</v>
      </c>
      <c r="B4">
        <v>0.14099999999999999</v>
      </c>
      <c r="C4">
        <v>0.14599999999999999</v>
      </c>
      <c r="D4">
        <v>0.08</v>
      </c>
      <c r="E4">
        <v>9.1999999999999998E-2</v>
      </c>
      <c r="F4">
        <v>0.158</v>
      </c>
      <c r="G4">
        <v>0.13800000000000001</v>
      </c>
      <c r="H4">
        <v>0.1</v>
      </c>
      <c r="I4">
        <v>9.7000000000000003E-2</v>
      </c>
      <c r="J4">
        <v>6.0999999999999999E-2</v>
      </c>
      <c r="K4">
        <v>5.6000000000000001E-2</v>
      </c>
      <c r="L4">
        <v>9.4E-2</v>
      </c>
      <c r="M4">
        <v>0.111</v>
      </c>
    </row>
    <row r="5" spans="1:13" x14ac:dyDescent="0.25">
      <c r="A5" t="s">
        <v>15</v>
      </c>
      <c r="B5">
        <v>0.14599999999999999</v>
      </c>
      <c r="C5">
        <v>0.155</v>
      </c>
      <c r="D5">
        <v>8.5999999999999993E-2</v>
      </c>
      <c r="E5">
        <v>8.2000000000000003E-2</v>
      </c>
      <c r="F5">
        <v>0.111</v>
      </c>
      <c r="G5">
        <v>0.114</v>
      </c>
      <c r="H5">
        <v>8.1000000000000003E-2</v>
      </c>
      <c r="I5">
        <v>6.0999999999999999E-2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25">
      <c r="A6" t="s">
        <v>16</v>
      </c>
      <c r="B6">
        <v>0.185</v>
      </c>
      <c r="C6">
        <v>0.19900000000000001</v>
      </c>
      <c r="D6">
        <v>8.5000000000000006E-2</v>
      </c>
      <c r="E6">
        <v>9.4E-2</v>
      </c>
      <c r="F6">
        <v>0.129</v>
      </c>
      <c r="G6">
        <v>0.22700000000000001</v>
      </c>
      <c r="H6">
        <v>7.1999999999999995E-2</v>
      </c>
      <c r="I6">
        <v>0.114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0.13800000000000001</v>
      </c>
      <c r="C7">
        <v>0.154</v>
      </c>
      <c r="D7">
        <v>8.5000000000000006E-2</v>
      </c>
      <c r="E7">
        <v>0.10199999999999999</v>
      </c>
      <c r="F7">
        <v>0.124</v>
      </c>
      <c r="G7">
        <v>0.122</v>
      </c>
      <c r="H7">
        <v>0.106</v>
      </c>
      <c r="I7">
        <v>7.8E-2</v>
      </c>
      <c r="J7">
        <v>6.9000000000000006E-2</v>
      </c>
      <c r="K7">
        <v>7.0999999999999994E-2</v>
      </c>
      <c r="L7">
        <v>0.63800000000000001</v>
      </c>
      <c r="M7">
        <v>9.6000000000000002E-2</v>
      </c>
    </row>
    <row r="8" spans="1:13" x14ac:dyDescent="0.25">
      <c r="A8" t="s">
        <v>18</v>
      </c>
      <c r="B8">
        <v>0.126</v>
      </c>
      <c r="C8">
        <v>9.6000000000000002E-2</v>
      </c>
      <c r="D8">
        <v>7.5999999999999998E-2</v>
      </c>
      <c r="E8">
        <v>8.5999999999999993E-2</v>
      </c>
      <c r="F8">
        <v>0.109</v>
      </c>
      <c r="G8">
        <v>8.7999999999999995E-2</v>
      </c>
      <c r="H8">
        <v>7.3999999999999996E-2</v>
      </c>
      <c r="I8">
        <v>5.5E-2</v>
      </c>
      <c r="J8">
        <v>4.8000000000000001E-2</v>
      </c>
      <c r="K8">
        <v>6.2E-2</v>
      </c>
      <c r="L8">
        <v>0.35299999999999998</v>
      </c>
      <c r="M8">
        <v>9.8000000000000004E-2</v>
      </c>
    </row>
    <row r="9" spans="1:13" x14ac:dyDescent="0.25">
      <c r="A9" t="s">
        <v>19</v>
      </c>
      <c r="B9">
        <v>0.158</v>
      </c>
      <c r="C9">
        <v>0.17299999999999999</v>
      </c>
      <c r="D9">
        <v>0.105</v>
      </c>
      <c r="E9">
        <v>0.112</v>
      </c>
      <c r="F9">
        <v>0.123</v>
      </c>
      <c r="G9">
        <v>0.113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0.216</v>
      </c>
      <c r="C10">
        <v>0.23200000000000001</v>
      </c>
      <c r="D10">
        <v>0.10299999999999999</v>
      </c>
      <c r="E10">
        <v>0.124</v>
      </c>
      <c r="F10">
        <v>0.26900000000000002</v>
      </c>
      <c r="G10">
        <v>0.161</v>
      </c>
      <c r="H10">
        <v>9.9000000000000005E-2</v>
      </c>
      <c r="I10">
        <v>9.6000000000000002E-2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7.9999999999999932E-3</v>
      </c>
      <c r="C15" s="3">
        <f xml:space="preserve"> C3 - '+0 seg'!$C$3</f>
        <v>6.9999999999999923E-3</v>
      </c>
      <c r="D15" s="3">
        <f xml:space="preserve"> D3 - '+0 seg'!$D$3</f>
        <v>1.100000000000001E-2</v>
      </c>
      <c r="E15" s="3">
        <f xml:space="preserve"> E3 - '+0 seg'!$E$3</f>
        <v>1.100000000000001E-2</v>
      </c>
      <c r="F15" s="3">
        <f xml:space="preserve"> F3 - '+0 seg'!$F$3</f>
        <v>9.000000000000008E-3</v>
      </c>
      <c r="G15" s="3">
        <f xml:space="preserve"> G3 - '+0 seg'!$G$3</f>
        <v>1.8000000000000002E-2</v>
      </c>
      <c r="H15" s="3">
        <f xml:space="preserve"> H3 - '+0 seg'!$H$3</f>
        <v>2.9999999999999888E-3</v>
      </c>
      <c r="I15" s="3">
        <f xml:space="preserve"> I3 - '+0 seg'!$I$3</f>
        <v>3.0000000000000027E-3</v>
      </c>
      <c r="J15" s="3">
        <f xml:space="preserve"> J3 - '+0 seg'!$J$3</f>
        <v>0</v>
      </c>
      <c r="K15" s="3">
        <f xml:space="preserve"> K3 - '+0 seg'!$K$3</f>
        <v>-2.9999999999999957E-3</v>
      </c>
      <c r="L15" s="3">
        <f xml:space="preserve"> L3 - '+0 seg'!$L$3</f>
        <v>2.0000000000000018E-3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1.2999999999999984E-2</v>
      </c>
      <c r="C16" s="3">
        <f xml:space="preserve"> C4 - '+0 seg'!$C$4</f>
        <v>5.9999999999999776E-3</v>
      </c>
      <c r="D16" s="3">
        <f xml:space="preserve"> D4 - '+0 seg'!$D$4</f>
        <v>4.0000000000000036E-3</v>
      </c>
      <c r="E16" s="3">
        <f xml:space="preserve"> E4 - '+0 seg'!$E$4</f>
        <v>7.9999999999999932E-3</v>
      </c>
      <c r="F16" s="3">
        <f xml:space="preserve"> F4 - '+0 seg'!$F$4</f>
        <v>1.2000000000000011E-2</v>
      </c>
      <c r="G16" s="3">
        <f xml:space="preserve"> G4 - '+0 seg'!$G$4</f>
        <v>1.100000000000001E-2</v>
      </c>
      <c r="H16" s="3">
        <f xml:space="preserve"> H4 - '+0 seg'!$H$4</f>
        <v>9.000000000000008E-3</v>
      </c>
      <c r="I16" s="3">
        <f xml:space="preserve"> I4 - '+0 seg'!$I$4</f>
        <v>5.0000000000000044E-3</v>
      </c>
      <c r="J16" s="3">
        <f xml:space="preserve"> J4 - '+0 seg'!$J$4</f>
        <v>-1.0000000000000009E-3</v>
      </c>
      <c r="K16" s="3">
        <f xml:space="preserve"> K4 - '+0 seg'!$K$4</f>
        <v>4.0000000000000036E-3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5.0000000000000044E-3</v>
      </c>
      <c r="C17" s="3">
        <f xml:space="preserve"> C5 - '+0 seg'!$C$5</f>
        <v>1.3000000000000012E-2</v>
      </c>
      <c r="D17" s="3">
        <f xml:space="preserve"> D5 - '+0 seg'!$D$5</f>
        <v>5.9999999999999915E-3</v>
      </c>
      <c r="E17" s="3">
        <f xml:space="preserve"> E5 - '+0 seg'!$E$5</f>
        <v>2.0000000000000018E-3</v>
      </c>
      <c r="F17" s="3">
        <f xml:space="preserve"> F5 - '+0 seg'!$F$5</f>
        <v>9.999999999999995E-3</v>
      </c>
      <c r="G17" s="3">
        <f xml:space="preserve"> G5 - '+0 seg'!$G$5</f>
        <v>-2.0000000000000018E-3</v>
      </c>
      <c r="H17" s="3">
        <f xml:space="preserve"> H5 - '+0 seg'!$H$5</f>
        <v>6.0000000000000053E-3</v>
      </c>
      <c r="I17" s="3">
        <f xml:space="preserve"> I5 - '+0 seg'!$I$5</f>
        <v>-8.0000000000000071E-3</v>
      </c>
      <c r="J17" s="3">
        <f xml:space="preserve"> J5 - '+0 seg'!$J$5</f>
        <v>0</v>
      </c>
      <c r="K17" s="3">
        <f xml:space="preserve"> K5 - '+0 seg'!$K$5</f>
        <v>1.0000000000000009E-3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1.3999999999999985E-2</v>
      </c>
      <c r="C18" s="3">
        <f xml:space="preserve"> C6 - '+0 seg'!$C$6</f>
        <v>1.5000000000000013E-2</v>
      </c>
      <c r="D18" s="3">
        <f xml:space="preserve"> D6 - '+0 seg'!$D$6</f>
        <v>3.0000000000000027E-3</v>
      </c>
      <c r="E18" s="3">
        <f xml:space="preserve"> E6 - '+0 seg'!$E$6</f>
        <v>3.0000000000000027E-3</v>
      </c>
      <c r="F18" s="3">
        <f xml:space="preserve"> F6 - '+0 seg'!$F$6</f>
        <v>1.1999999999999997E-2</v>
      </c>
      <c r="G18" s="3">
        <f xml:space="preserve"> G6 - '+0 seg'!$G$6</f>
        <v>2.7999999999999997E-2</v>
      </c>
      <c r="H18" s="3">
        <f xml:space="preserve"> H6 - '+0 seg'!$H$6</f>
        <v>3.9999999999999897E-3</v>
      </c>
      <c r="I18" s="3">
        <f xml:space="preserve"> I6 - '+0 seg'!$I$6</f>
        <v>5.0000000000000044E-3</v>
      </c>
      <c r="J18" s="3">
        <f xml:space="preserve"> J6 - '+0 seg'!$J$6</f>
        <v>1.0000000000000009E-3</v>
      </c>
      <c r="K18" s="3">
        <f xml:space="preserve"> K6 - '+0 seg'!$K$6</f>
        <v>1.0000000000000009E-3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4.0000000000000036E-3</v>
      </c>
      <c r="C19" s="3">
        <f xml:space="preserve"> C7 - '+0 seg'!$C$7</f>
        <v>3.0000000000000027E-3</v>
      </c>
      <c r="D19" s="3">
        <f xml:space="preserve"> D7 - '+0 seg'!$D$7</f>
        <v>5.0000000000000044E-3</v>
      </c>
      <c r="E19" s="3">
        <f xml:space="preserve"> E7 - '+0 seg'!$E$7</f>
        <v>1.3999999999999999E-2</v>
      </c>
      <c r="F19" s="3">
        <f xml:space="preserve"> F7 - '+0 seg'!$F$7</f>
        <v>1.1999999999999997E-2</v>
      </c>
      <c r="G19" s="3">
        <f xml:space="preserve"> G7 - '+0 seg'!$G$7</f>
        <v>1.9000000000000003E-2</v>
      </c>
      <c r="H19" s="3">
        <f xml:space="preserve"> H7 - '+0 seg'!$H$7</f>
        <v>1.1999999999999997E-2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1.9999999999999879E-3</v>
      </c>
      <c r="L19" s="3">
        <f xml:space="preserve"> L7 - '+0 seg'!$L$7</f>
        <v>-5.0000000000000044E-3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9.999999999999995E-3</v>
      </c>
      <c r="C20" s="3">
        <f xml:space="preserve"> C8 - '+0 seg'!$C$8</f>
        <v>5.0000000000000044E-3</v>
      </c>
      <c r="D20" s="3">
        <f xml:space="preserve"> D8 - '+0 seg'!$D$8</f>
        <v>-3.0000000000000027E-3</v>
      </c>
      <c r="E20" s="3">
        <f xml:space="preserve"> E8 - '+0 seg'!$E$8</f>
        <v>1.0999999999999996E-2</v>
      </c>
      <c r="F20" s="3">
        <f xml:space="preserve"> F8 - '+0 seg'!$F$8</f>
        <v>1.2999999999999998E-2</v>
      </c>
      <c r="G20" s="3">
        <f xml:space="preserve"> G8 - '+0 seg'!$G$8</f>
        <v>8.9999999999999941E-3</v>
      </c>
      <c r="H20" s="3">
        <f xml:space="preserve"> H8 - '+0 seg'!$H$8</f>
        <v>-2.0000000000000018E-3</v>
      </c>
      <c r="I20" s="3">
        <f xml:space="preserve"> I8 - '+0 seg'!$I$8</f>
        <v>-3.9999999999999966E-3</v>
      </c>
      <c r="J20" s="3">
        <f xml:space="preserve"> J8 - '+0 seg'!$J$8</f>
        <v>-2.9999999999999957E-3</v>
      </c>
      <c r="K20" s="3">
        <f xml:space="preserve"> K8 - '+0 seg'!$K$8</f>
        <v>0</v>
      </c>
      <c r="L20" s="3">
        <f xml:space="preserve"> L8 - '+0 seg'!$L$8</f>
        <v>-1.6000000000000014E-2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7.0000000000000062E-3</v>
      </c>
      <c r="C21" s="3">
        <f xml:space="preserve"> C9 - '+0 seg'!$C$9</f>
        <v>1.0999999999999982E-2</v>
      </c>
      <c r="D21" s="3">
        <f xml:space="preserve"> D9 - '+0 seg'!$D$9</f>
        <v>4.9999999999999906E-3</v>
      </c>
      <c r="E21" s="3">
        <f xml:space="preserve"> E9 - '+0 seg'!$E$9</f>
        <v>7.0000000000000062E-3</v>
      </c>
      <c r="F21" s="3">
        <f xml:space="preserve"> F9 - '+0 seg'!$F$9</f>
        <v>6.9999999999999923E-3</v>
      </c>
      <c r="G21" s="3">
        <f xml:space="preserve"> G9 - '+0 seg'!$G$9</f>
        <v>1.4999999999999999E-2</v>
      </c>
      <c r="H21" s="3">
        <f xml:space="preserve"> H9 - '+0 seg'!$H$9</f>
        <v>9.9999999999998701E-4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-3.0000000000000027E-3</v>
      </c>
      <c r="C22" s="3">
        <f xml:space="preserve"> C10 - '+0 seg'!$C$10</f>
        <v>2.7000000000000024E-2</v>
      </c>
      <c r="D22" s="3">
        <f xml:space="preserve"> D10 - '+0 seg'!$D$10</f>
        <v>-2.0000000000000018E-3</v>
      </c>
      <c r="E22" s="3">
        <f xml:space="preserve"> E10 - '+0 seg'!$E$10</f>
        <v>1.1999999999999997E-2</v>
      </c>
      <c r="F22" s="3">
        <f xml:space="preserve"> F10 - '+0 seg'!$F$10</f>
        <v>4.300000000000001E-2</v>
      </c>
      <c r="G22" s="3">
        <f xml:space="preserve"> G10 - '+0 seg'!$G$10</f>
        <v>2.0000000000000018E-3</v>
      </c>
      <c r="H22" s="3">
        <f xml:space="preserve"> H10 - '+0 seg'!$H$10</f>
        <v>2.0000000000000018E-3</v>
      </c>
      <c r="I22" s="3">
        <f xml:space="preserve"> I10 - '+0 seg'!$I$10</f>
        <v>4.0000000000000036E-3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7.4999999999999928E-3</v>
      </c>
      <c r="C26" s="3">
        <f>STDEV(B15:C15)</f>
        <v>7.0710678118654816E-4</v>
      </c>
      <c r="D26" s="3">
        <f t="shared" ref="D26:H33" si="0">AVERAGE(D15:E15)</f>
        <v>1.100000000000001E-2</v>
      </c>
      <c r="E26" s="3">
        <f>STDEV(D15:E15)</f>
        <v>0</v>
      </c>
      <c r="F26" s="3">
        <f t="shared" si="0"/>
        <v>1.3500000000000005E-2</v>
      </c>
      <c r="G26" s="3">
        <f>STDEV(F15:G15)</f>
        <v>6.3639610306789199E-3</v>
      </c>
      <c r="H26" s="3">
        <f t="shared" si="0"/>
        <v>2.9999999999999957E-3</v>
      </c>
      <c r="I26" s="3">
        <f>STDEV(H15:I15)</f>
        <v>9.8130778667735948E-18</v>
      </c>
      <c r="J26" s="3">
        <f>AVERAGE(J15:J16)</f>
        <v>-5.0000000000000044E-4</v>
      </c>
      <c r="K26" s="3">
        <f>STDEV(J15:J16)</f>
        <v>7.0710678118654816E-4</v>
      </c>
      <c r="L26" s="3">
        <f>AVERAGE(K15:K16)</f>
        <v>5.0000000000000391E-4</v>
      </c>
      <c r="M26" s="3">
        <f>STDEV(K15:K16)</f>
        <v>4.9497474683058325E-3</v>
      </c>
    </row>
    <row r="27" spans="1:13" x14ac:dyDescent="0.25">
      <c r="A27" t="s">
        <v>14</v>
      </c>
      <c r="B27" s="3">
        <f t="shared" ref="B27:B33" si="1">AVERAGE(B16:C16)</f>
        <v>9.4999999999999807E-3</v>
      </c>
      <c r="C27" s="3">
        <f t="shared" ref="C27:E33" si="2">STDEV(B16:C16)</f>
        <v>4.9497474683058377E-3</v>
      </c>
      <c r="D27" s="3">
        <f t="shared" si="0"/>
        <v>5.9999999999999984E-3</v>
      </c>
      <c r="E27" s="3">
        <f t="shared" si="2"/>
        <v>2.8284271247461814E-3</v>
      </c>
      <c r="F27" s="3">
        <f t="shared" si="0"/>
        <v>1.150000000000001E-2</v>
      </c>
      <c r="G27" s="3">
        <f t="shared" ref="G27:G33" si="3">STDEV(F16:G16)</f>
        <v>7.0710678118654816E-4</v>
      </c>
      <c r="H27" s="3">
        <f t="shared" si="0"/>
        <v>7.0000000000000062E-3</v>
      </c>
      <c r="I27" s="3">
        <f t="shared" ref="I27:I33" si="4">STDEV(H16:I16)</f>
        <v>2.8284271247461935E-3</v>
      </c>
      <c r="L27" s="3"/>
      <c r="M27" s="3"/>
    </row>
    <row r="28" spans="1:13" x14ac:dyDescent="0.25">
      <c r="A28" t="s">
        <v>15</v>
      </c>
      <c r="B28" s="3">
        <f t="shared" si="1"/>
        <v>9.000000000000008E-3</v>
      </c>
      <c r="C28" s="3">
        <f t="shared" si="2"/>
        <v>5.656854249492387E-3</v>
      </c>
      <c r="D28" s="3">
        <f t="shared" si="0"/>
        <v>3.9999999999999966E-3</v>
      </c>
      <c r="E28" s="3">
        <f t="shared" si="2"/>
        <v>2.8284271247461835E-3</v>
      </c>
      <c r="F28" s="3">
        <f t="shared" si="0"/>
        <v>3.9999999999999966E-3</v>
      </c>
      <c r="G28" s="3">
        <f t="shared" si="3"/>
        <v>8.485281374238568E-3</v>
      </c>
      <c r="H28" s="3">
        <f t="shared" si="0"/>
        <v>-1.0000000000000009E-3</v>
      </c>
      <c r="I28" s="3">
        <f t="shared" si="4"/>
        <v>9.8994949366116736E-3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1.4499999999999999E-2</v>
      </c>
      <c r="C29" s="3">
        <f t="shared" si="2"/>
        <v>7.0710678118656779E-4</v>
      </c>
      <c r="D29" s="3">
        <f t="shared" si="0"/>
        <v>3.0000000000000027E-3</v>
      </c>
      <c r="E29" s="3">
        <f t="shared" si="2"/>
        <v>0</v>
      </c>
      <c r="F29" s="3">
        <f t="shared" si="0"/>
        <v>1.9999999999999997E-2</v>
      </c>
      <c r="G29" s="3">
        <f t="shared" si="3"/>
        <v>1.1313708498984764E-2</v>
      </c>
      <c r="H29" s="3">
        <f t="shared" si="0"/>
        <v>4.4999999999999971E-3</v>
      </c>
      <c r="I29" s="3">
        <f t="shared" si="4"/>
        <v>7.0710678118655803E-4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3.5000000000000031E-3</v>
      </c>
      <c r="C30" s="3">
        <f t="shared" si="2"/>
        <v>7.0710678118654816E-4</v>
      </c>
      <c r="D30" s="3">
        <f t="shared" si="0"/>
        <v>9.5000000000000015E-3</v>
      </c>
      <c r="E30" s="3">
        <f t="shared" si="2"/>
        <v>6.3639610306789243E-3</v>
      </c>
      <c r="F30" s="3">
        <f t="shared" si="0"/>
        <v>1.55E-2</v>
      </c>
      <c r="G30" s="3">
        <f t="shared" si="3"/>
        <v>4.9497474683058377E-3</v>
      </c>
      <c r="H30" s="3">
        <f t="shared" si="0"/>
        <v>2.9999999999999957E-3</v>
      </c>
      <c r="I30" s="3">
        <f t="shared" si="4"/>
        <v>1.2727922061357857E-2</v>
      </c>
      <c r="J30" s="3">
        <f>AVERAGE(J19:J20)</f>
        <v>-1.4999999999999979E-3</v>
      </c>
      <c r="K30" s="3">
        <f>STDEV(J19:J20)</f>
        <v>2.1213203435596394E-3</v>
      </c>
      <c r="L30" s="3">
        <f>AVERAGE(K19:K20)</f>
        <v>9.9999999999999395E-4</v>
      </c>
      <c r="M30" s="3">
        <f>STDEV(K19:K20)</f>
        <v>1.4142135623730866E-3</v>
      </c>
    </row>
    <row r="31" spans="1:13" x14ac:dyDescent="0.25">
      <c r="A31" t="s">
        <v>18</v>
      </c>
      <c r="B31" s="3">
        <f t="shared" si="1"/>
        <v>7.4999999999999997E-3</v>
      </c>
      <c r="C31" s="3">
        <f t="shared" si="2"/>
        <v>3.5355339059327307E-3</v>
      </c>
      <c r="D31" s="3">
        <f t="shared" si="0"/>
        <v>3.9999999999999966E-3</v>
      </c>
      <c r="E31" s="3">
        <f t="shared" si="2"/>
        <v>9.8994949366116632E-3</v>
      </c>
      <c r="F31" s="3">
        <f t="shared" si="0"/>
        <v>1.0999999999999996E-2</v>
      </c>
      <c r="G31" s="3">
        <f t="shared" si="3"/>
        <v>2.8284271247461927E-3</v>
      </c>
      <c r="H31" s="3">
        <f t="shared" si="0"/>
        <v>-2.9999999999999992E-3</v>
      </c>
      <c r="I31" s="3">
        <f t="shared" si="4"/>
        <v>1.4142135623730913E-3</v>
      </c>
      <c r="L31" s="3"/>
      <c r="M31" s="3"/>
    </row>
    <row r="32" spans="1:13" x14ac:dyDescent="0.25">
      <c r="A32" t="s">
        <v>19</v>
      </c>
      <c r="B32" s="3">
        <f t="shared" si="1"/>
        <v>8.9999999999999941E-3</v>
      </c>
      <c r="C32" s="3">
        <f t="shared" si="2"/>
        <v>2.8284271247461731E-3</v>
      </c>
      <c r="D32" s="3">
        <f t="shared" si="0"/>
        <v>5.9999999999999984E-3</v>
      </c>
      <c r="E32" s="3">
        <f t="shared" si="2"/>
        <v>1.4142135623731061E-3</v>
      </c>
      <c r="F32" s="3">
        <f t="shared" si="0"/>
        <v>1.0999999999999996E-2</v>
      </c>
      <c r="G32" s="3">
        <f t="shared" si="3"/>
        <v>5.656854249492387E-3</v>
      </c>
      <c r="H32" s="3">
        <f t="shared" si="0"/>
        <v>4.9999999999999351E-4</v>
      </c>
      <c r="I32" s="3">
        <f t="shared" si="4"/>
        <v>7.0710678118653841E-4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1.2000000000000011E-2</v>
      </c>
      <c r="C33" s="3">
        <f t="shared" si="2"/>
        <v>2.1213203435596444E-2</v>
      </c>
      <c r="D33" s="3">
        <f t="shared" si="0"/>
        <v>4.9999999999999975E-3</v>
      </c>
      <c r="E33" s="3">
        <f t="shared" si="2"/>
        <v>9.899494936611665E-3</v>
      </c>
      <c r="F33" s="3">
        <f t="shared" si="0"/>
        <v>2.2500000000000006E-2</v>
      </c>
      <c r="G33" s="3">
        <f t="shared" si="3"/>
        <v>2.8991378028648453E-2</v>
      </c>
      <c r="H33" s="3">
        <f t="shared" si="0"/>
        <v>3.0000000000000027E-3</v>
      </c>
      <c r="I33" s="3">
        <f t="shared" si="4"/>
        <v>1.4142135623730963E-3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0.107</v>
      </c>
      <c r="C3">
        <v>9.2999999999999999E-2</v>
      </c>
      <c r="D3">
        <v>8.4000000000000005E-2</v>
      </c>
      <c r="E3">
        <v>9.0999999999999998E-2</v>
      </c>
      <c r="F3">
        <v>0.158</v>
      </c>
      <c r="G3">
        <v>0.13400000000000001</v>
      </c>
      <c r="H3">
        <v>8.5999999999999993E-2</v>
      </c>
      <c r="I3">
        <v>6.4000000000000001E-2</v>
      </c>
      <c r="J3">
        <v>5.1999999999999998E-2</v>
      </c>
      <c r="K3">
        <v>4.9000000000000002E-2</v>
      </c>
      <c r="L3">
        <v>0.121</v>
      </c>
      <c r="M3">
        <v>9.2999999999999999E-2</v>
      </c>
    </row>
    <row r="4" spans="1:13" x14ac:dyDescent="0.25">
      <c r="A4" t="s">
        <v>14</v>
      </c>
      <c r="B4">
        <v>0.13700000000000001</v>
      </c>
      <c r="C4">
        <v>0.14699999999999999</v>
      </c>
      <c r="D4">
        <v>7.9000000000000001E-2</v>
      </c>
      <c r="E4">
        <v>9.1999999999999998E-2</v>
      </c>
      <c r="F4">
        <v>0.157</v>
      </c>
      <c r="G4">
        <v>0.14000000000000001</v>
      </c>
      <c r="H4">
        <v>0.1</v>
      </c>
      <c r="I4">
        <v>9.7000000000000003E-2</v>
      </c>
      <c r="J4">
        <v>6.0999999999999999E-2</v>
      </c>
      <c r="K4">
        <v>5.6000000000000001E-2</v>
      </c>
      <c r="L4">
        <v>9.4E-2</v>
      </c>
      <c r="M4">
        <v>0.111</v>
      </c>
    </row>
    <row r="5" spans="1:13" x14ac:dyDescent="0.25">
      <c r="A5" t="s">
        <v>15</v>
      </c>
      <c r="B5">
        <v>0.14599999999999999</v>
      </c>
      <c r="C5">
        <v>0.156</v>
      </c>
      <c r="D5">
        <v>8.5999999999999993E-2</v>
      </c>
      <c r="E5">
        <v>8.2000000000000003E-2</v>
      </c>
      <c r="F5">
        <v>0.112</v>
      </c>
      <c r="G5">
        <v>0.114</v>
      </c>
      <c r="H5">
        <v>8.1000000000000003E-2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25">
      <c r="A6" t="s">
        <v>16</v>
      </c>
      <c r="B6">
        <v>0.185</v>
      </c>
      <c r="C6">
        <v>0.19900000000000001</v>
      </c>
      <c r="D6">
        <v>8.5000000000000006E-2</v>
      </c>
      <c r="E6">
        <v>9.4E-2</v>
      </c>
      <c r="F6">
        <v>0.13</v>
      </c>
      <c r="G6">
        <v>0.22900000000000001</v>
      </c>
      <c r="H6">
        <v>7.1999999999999995E-2</v>
      </c>
      <c r="I6">
        <v>0.115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0.13800000000000001</v>
      </c>
      <c r="C7">
        <v>0.152</v>
      </c>
      <c r="D7">
        <v>8.5000000000000006E-2</v>
      </c>
      <c r="E7">
        <v>0.10199999999999999</v>
      </c>
      <c r="F7">
        <v>0.124</v>
      </c>
      <c r="G7">
        <v>0.121</v>
      </c>
      <c r="H7">
        <v>0.106</v>
      </c>
      <c r="I7">
        <v>7.8E-2</v>
      </c>
      <c r="J7">
        <v>6.8000000000000005E-2</v>
      </c>
      <c r="K7">
        <v>7.0999999999999994E-2</v>
      </c>
      <c r="L7">
        <v>0.63500000000000001</v>
      </c>
      <c r="M7">
        <v>9.6000000000000002E-2</v>
      </c>
    </row>
    <row r="8" spans="1:13" x14ac:dyDescent="0.25">
      <c r="A8" t="s">
        <v>18</v>
      </c>
      <c r="B8">
        <v>0.127</v>
      </c>
      <c r="C8">
        <v>9.7000000000000003E-2</v>
      </c>
      <c r="D8">
        <v>7.4999999999999997E-2</v>
      </c>
      <c r="E8">
        <v>8.5999999999999993E-2</v>
      </c>
      <c r="F8">
        <v>0.11</v>
      </c>
      <c r="G8">
        <v>8.8999999999999996E-2</v>
      </c>
      <c r="H8">
        <v>7.3999999999999996E-2</v>
      </c>
      <c r="I8">
        <v>5.5E-2</v>
      </c>
      <c r="J8">
        <v>4.9000000000000002E-2</v>
      </c>
      <c r="K8">
        <v>6.2E-2</v>
      </c>
      <c r="L8">
        <v>0.35</v>
      </c>
      <c r="M8">
        <v>9.8000000000000004E-2</v>
      </c>
    </row>
    <row r="9" spans="1:13" x14ac:dyDescent="0.25">
      <c r="A9" t="s">
        <v>19</v>
      </c>
      <c r="B9">
        <v>0.158</v>
      </c>
      <c r="C9">
        <v>0.17399999999999999</v>
      </c>
      <c r="D9">
        <v>0.105</v>
      </c>
      <c r="E9">
        <v>0.112</v>
      </c>
      <c r="F9">
        <v>0.123</v>
      </c>
      <c r="G9">
        <v>0.115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0.223</v>
      </c>
      <c r="C10">
        <v>0.23300000000000001</v>
      </c>
      <c r="D10">
        <v>0.10299999999999999</v>
      </c>
      <c r="E10">
        <v>0.125</v>
      </c>
      <c r="F10">
        <v>0.27100000000000002</v>
      </c>
      <c r="G10">
        <v>0.16200000000000001</v>
      </c>
      <c r="H10">
        <v>9.9000000000000005E-2</v>
      </c>
      <c r="I10">
        <v>9.6000000000000002E-2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8.9999999999999941E-3</v>
      </c>
      <c r="C15" s="3">
        <f xml:space="preserve"> C3 - '+0 seg'!$C$3</f>
        <v>7.9999999999999932E-3</v>
      </c>
      <c r="D15" s="3">
        <f xml:space="preserve"> D3 - '+0 seg'!$D$3</f>
        <v>1.100000000000001E-2</v>
      </c>
      <c r="E15" s="3">
        <f xml:space="preserve"> E3 - '+0 seg'!$E$3</f>
        <v>4.0000000000000036E-3</v>
      </c>
      <c r="F15" s="3">
        <f xml:space="preserve"> F3 - '+0 seg'!$F$3</f>
        <v>1.100000000000001E-2</v>
      </c>
      <c r="G15" s="3">
        <f xml:space="preserve"> G3 - '+0 seg'!$G$3</f>
        <v>1.9000000000000003E-2</v>
      </c>
      <c r="H15" s="3">
        <f xml:space="preserve"> H3 - '+0 seg'!$H$3</f>
        <v>2.9999999999999888E-3</v>
      </c>
      <c r="I15" s="3">
        <f xml:space="preserve"> I3 - '+0 seg'!$I$3</f>
        <v>3.0000000000000027E-3</v>
      </c>
      <c r="J15" s="3">
        <f xml:space="preserve"> J3 - '+0 seg'!$J$3</f>
        <v>1.0000000000000009E-3</v>
      </c>
      <c r="K15" s="3">
        <f xml:space="preserve"> K3 - '+0 seg'!$K$3</f>
        <v>-2.9999999999999957E-3</v>
      </c>
      <c r="L15" s="3">
        <f xml:space="preserve"> L3 - '+0 seg'!$L$3</f>
        <v>1.0000000000000009E-3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9.000000000000008E-3</v>
      </c>
      <c r="C16" s="3">
        <f xml:space="preserve"> C4 - '+0 seg'!$C$4</f>
        <v>6.9999999999999785E-3</v>
      </c>
      <c r="D16" s="3">
        <f xml:space="preserve"> D4 - '+0 seg'!$D$4</f>
        <v>3.0000000000000027E-3</v>
      </c>
      <c r="E16" s="3">
        <f xml:space="preserve"> E4 - '+0 seg'!$E$4</f>
        <v>7.9999999999999932E-3</v>
      </c>
      <c r="F16" s="3">
        <f xml:space="preserve"> F4 - '+0 seg'!$F$4</f>
        <v>1.100000000000001E-2</v>
      </c>
      <c r="G16" s="3">
        <f xml:space="preserve"> G4 - '+0 seg'!$G$4</f>
        <v>1.3000000000000012E-2</v>
      </c>
      <c r="H16" s="3">
        <f xml:space="preserve"> H4 - '+0 seg'!$H$4</f>
        <v>9.000000000000008E-3</v>
      </c>
      <c r="I16" s="3">
        <f xml:space="preserve"> I4 - '+0 seg'!$I$4</f>
        <v>5.0000000000000044E-3</v>
      </c>
      <c r="J16" s="3">
        <f xml:space="preserve"> J4 - '+0 seg'!$J$4</f>
        <v>-1.0000000000000009E-3</v>
      </c>
      <c r="K16" s="3">
        <f xml:space="preserve"> K4 - '+0 seg'!$K$4</f>
        <v>4.0000000000000036E-3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5.0000000000000044E-3</v>
      </c>
      <c r="C17" s="3">
        <f xml:space="preserve"> C5 - '+0 seg'!$C$5</f>
        <v>1.4000000000000012E-2</v>
      </c>
      <c r="D17" s="3">
        <f xml:space="preserve"> D5 - '+0 seg'!$D$5</f>
        <v>5.9999999999999915E-3</v>
      </c>
      <c r="E17" s="3">
        <f xml:space="preserve"> E5 - '+0 seg'!$E$5</f>
        <v>2.0000000000000018E-3</v>
      </c>
      <c r="F17" s="3">
        <f xml:space="preserve"> F5 - '+0 seg'!$F$5</f>
        <v>1.0999999999999996E-2</v>
      </c>
      <c r="G17" s="3">
        <f xml:space="preserve"> G5 - '+0 seg'!$G$5</f>
        <v>-2.0000000000000018E-3</v>
      </c>
      <c r="H17" s="3">
        <f xml:space="preserve"> H5 - '+0 seg'!$H$5</f>
        <v>6.0000000000000053E-3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1.0000000000000009E-3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1.3999999999999985E-2</v>
      </c>
      <c r="C18" s="3">
        <f xml:space="preserve"> C6 - '+0 seg'!$C$6</f>
        <v>1.5000000000000013E-2</v>
      </c>
      <c r="D18" s="3">
        <f xml:space="preserve"> D6 - '+0 seg'!$D$6</f>
        <v>3.0000000000000027E-3</v>
      </c>
      <c r="E18" s="3">
        <f xml:space="preserve"> E6 - '+0 seg'!$E$6</f>
        <v>3.0000000000000027E-3</v>
      </c>
      <c r="F18" s="3">
        <f xml:space="preserve"> F6 - '+0 seg'!$F$6</f>
        <v>1.2999999999999998E-2</v>
      </c>
      <c r="G18" s="3">
        <f xml:space="preserve"> G6 - '+0 seg'!$G$6</f>
        <v>0.03</v>
      </c>
      <c r="H18" s="3">
        <f xml:space="preserve"> H6 - '+0 seg'!$H$6</f>
        <v>3.9999999999999897E-3</v>
      </c>
      <c r="I18" s="3">
        <f xml:space="preserve"> I6 - '+0 seg'!$I$6</f>
        <v>6.0000000000000053E-3</v>
      </c>
      <c r="J18" s="3">
        <f xml:space="preserve"> J6 - '+0 seg'!$J$6</f>
        <v>1.0000000000000009E-3</v>
      </c>
      <c r="K18" s="3">
        <f xml:space="preserve"> K6 - '+0 seg'!$K$6</f>
        <v>1.0000000000000009E-3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4.0000000000000036E-3</v>
      </c>
      <c r="C19" s="3">
        <f xml:space="preserve"> C7 - '+0 seg'!$C$7</f>
        <v>1.0000000000000009E-3</v>
      </c>
      <c r="D19" s="3">
        <f xml:space="preserve"> D7 - '+0 seg'!$D$7</f>
        <v>5.0000000000000044E-3</v>
      </c>
      <c r="E19" s="3">
        <f xml:space="preserve"> E7 - '+0 seg'!$E$7</f>
        <v>1.3999999999999999E-2</v>
      </c>
      <c r="F19" s="3">
        <f xml:space="preserve"> F7 - '+0 seg'!$F$7</f>
        <v>1.1999999999999997E-2</v>
      </c>
      <c r="G19" s="3">
        <f xml:space="preserve"> G7 - '+0 seg'!$G$7</f>
        <v>1.8000000000000002E-2</v>
      </c>
      <c r="H19" s="3">
        <f xml:space="preserve"> H7 - '+0 seg'!$H$7</f>
        <v>1.1999999999999997E-2</v>
      </c>
      <c r="I19" s="3">
        <f xml:space="preserve"> I7 - '+0 seg'!$I$7</f>
        <v>-6.0000000000000053E-3</v>
      </c>
      <c r="J19" s="3">
        <f xml:space="preserve"> J7 - '+0 seg'!$J$7</f>
        <v>-1.0000000000000009E-3</v>
      </c>
      <c r="K19" s="3">
        <f xml:space="preserve"> K7 - '+0 seg'!$K$7</f>
        <v>1.9999999999999879E-3</v>
      </c>
      <c r="L19" s="3">
        <f xml:space="preserve"> L7 - '+0 seg'!$L$7</f>
        <v>-8.0000000000000071E-3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1.0999999999999996E-2</v>
      </c>
      <c r="C20" s="3">
        <f xml:space="preserve"> C8 - '+0 seg'!$C$8</f>
        <v>6.0000000000000053E-3</v>
      </c>
      <c r="D20" s="3">
        <f xml:space="preserve"> D8 - '+0 seg'!$D$8</f>
        <v>-4.0000000000000036E-3</v>
      </c>
      <c r="E20" s="3">
        <f xml:space="preserve"> E8 - '+0 seg'!$E$8</f>
        <v>1.0999999999999996E-2</v>
      </c>
      <c r="F20" s="3">
        <f xml:space="preserve"> F8 - '+0 seg'!$F$8</f>
        <v>1.3999999999999999E-2</v>
      </c>
      <c r="G20" s="3">
        <f xml:space="preserve"> G8 - '+0 seg'!$G$8</f>
        <v>9.999999999999995E-3</v>
      </c>
      <c r="H20" s="3">
        <f xml:space="preserve"> H8 - '+0 seg'!$H$8</f>
        <v>-2.0000000000000018E-3</v>
      </c>
      <c r="I20" s="3">
        <f xml:space="preserve"> I8 - '+0 seg'!$I$8</f>
        <v>-3.9999999999999966E-3</v>
      </c>
      <c r="J20" s="3">
        <f xml:space="preserve"> J8 - '+0 seg'!$J$8</f>
        <v>-1.9999999999999948E-3</v>
      </c>
      <c r="K20" s="3">
        <f xml:space="preserve"> K8 - '+0 seg'!$K$8</f>
        <v>0</v>
      </c>
      <c r="L20" s="3">
        <f xml:space="preserve"> L8 - '+0 seg'!$L$8</f>
        <v>-1.9000000000000017E-2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7.0000000000000062E-3</v>
      </c>
      <c r="C21" s="3">
        <f xml:space="preserve"> C9 - '+0 seg'!$C$9</f>
        <v>1.1999999999999983E-2</v>
      </c>
      <c r="D21" s="3">
        <f xml:space="preserve"> D9 - '+0 seg'!$D$9</f>
        <v>4.9999999999999906E-3</v>
      </c>
      <c r="E21" s="3">
        <f xml:space="preserve"> E9 - '+0 seg'!$E$9</f>
        <v>7.0000000000000062E-3</v>
      </c>
      <c r="F21" s="3">
        <f xml:space="preserve"> F9 - '+0 seg'!$F$9</f>
        <v>6.9999999999999923E-3</v>
      </c>
      <c r="G21" s="3">
        <f xml:space="preserve"> G9 - '+0 seg'!$G$9</f>
        <v>1.7000000000000001E-2</v>
      </c>
      <c r="H21" s="3">
        <f xml:space="preserve"> H9 - '+0 seg'!$H$9</f>
        <v>0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4.0000000000000036E-3</v>
      </c>
      <c r="C22" s="3">
        <f xml:space="preserve"> C10 - '+0 seg'!$C$10</f>
        <v>2.8000000000000025E-2</v>
      </c>
      <c r="D22" s="3">
        <f xml:space="preserve"> D10 - '+0 seg'!$D$10</f>
        <v>-2.0000000000000018E-3</v>
      </c>
      <c r="E22" s="3">
        <f xml:space="preserve"> E10 - '+0 seg'!$E$10</f>
        <v>1.2999999999999998E-2</v>
      </c>
      <c r="F22" s="3">
        <f xml:space="preserve"> F10 - '+0 seg'!$F$10</f>
        <v>4.5000000000000012E-2</v>
      </c>
      <c r="G22" s="3">
        <f xml:space="preserve"> G10 - '+0 seg'!$G$10</f>
        <v>3.0000000000000027E-3</v>
      </c>
      <c r="H22" s="3">
        <f xml:space="preserve"> H10 - '+0 seg'!$H$10</f>
        <v>2.0000000000000018E-3</v>
      </c>
      <c r="I22" s="3">
        <f xml:space="preserve"> I10 - '+0 seg'!$I$10</f>
        <v>4.0000000000000036E-3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8.4999999999999937E-3</v>
      </c>
      <c r="C26" s="3">
        <f>STDEV(B15:C15)</f>
        <v>7.0710678118654816E-4</v>
      </c>
      <c r="D26" s="3">
        <f t="shared" ref="D26:H33" si="0">AVERAGE(D15:E15)</f>
        <v>7.5000000000000067E-3</v>
      </c>
      <c r="E26" s="3">
        <f>STDEV(D15:E15)</f>
        <v>4.9497474683058368E-3</v>
      </c>
      <c r="F26" s="3">
        <f t="shared" si="0"/>
        <v>1.5000000000000006E-2</v>
      </c>
      <c r="G26" s="3">
        <f>STDEV(F15:G15)</f>
        <v>5.6568542494923775E-3</v>
      </c>
      <c r="H26" s="3">
        <f t="shared" si="0"/>
        <v>2.9999999999999957E-3</v>
      </c>
      <c r="I26" s="3">
        <f>STDEV(H15:I15)</f>
        <v>9.8130778667735948E-18</v>
      </c>
      <c r="J26" s="3">
        <f>AVERAGE(J15:J16)</f>
        <v>0</v>
      </c>
      <c r="K26" s="3">
        <f>STDEV(J15:J16)</f>
        <v>1.4142135623730963E-3</v>
      </c>
      <c r="L26" s="3">
        <f>AVERAGE(K15:K16)</f>
        <v>5.0000000000000391E-4</v>
      </c>
      <c r="M26" s="3">
        <f>STDEV(K15:K16)</f>
        <v>4.9497474683058325E-3</v>
      </c>
    </row>
    <row r="27" spans="1:13" x14ac:dyDescent="0.25">
      <c r="A27" t="s">
        <v>14</v>
      </c>
      <c r="B27" s="3">
        <f t="shared" ref="B27:B33" si="1">AVERAGE(B16:C16)</f>
        <v>7.9999999999999932E-3</v>
      </c>
      <c r="C27" s="3">
        <f t="shared" ref="C27:E33" si="2">STDEV(B16:C16)</f>
        <v>1.4142135623731161E-3</v>
      </c>
      <c r="D27" s="3">
        <f t="shared" si="0"/>
        <v>5.4999999999999979E-3</v>
      </c>
      <c r="E27" s="3">
        <f t="shared" si="2"/>
        <v>3.5355339059327307E-3</v>
      </c>
      <c r="F27" s="3">
        <f t="shared" si="0"/>
        <v>1.2000000000000011E-2</v>
      </c>
      <c r="G27" s="3">
        <f t="shared" ref="G27:G33" si="3">STDEV(F16:G16)</f>
        <v>1.4142135623730963E-3</v>
      </c>
      <c r="H27" s="3">
        <f t="shared" si="0"/>
        <v>7.0000000000000062E-3</v>
      </c>
      <c r="I27" s="3">
        <f t="shared" ref="I27:I33" si="4">STDEV(H16:I16)</f>
        <v>2.8284271247461935E-3</v>
      </c>
      <c r="L27" s="3"/>
      <c r="M27" s="3"/>
    </row>
    <row r="28" spans="1:13" x14ac:dyDescent="0.25">
      <c r="A28" t="s">
        <v>15</v>
      </c>
      <c r="B28" s="3">
        <f t="shared" si="1"/>
        <v>9.5000000000000084E-3</v>
      </c>
      <c r="C28" s="3">
        <f t="shared" si="2"/>
        <v>6.3639610306789329E-3</v>
      </c>
      <c r="D28" s="3">
        <f t="shared" si="0"/>
        <v>3.9999999999999966E-3</v>
      </c>
      <c r="E28" s="3">
        <f t="shared" si="2"/>
        <v>2.8284271247461835E-3</v>
      </c>
      <c r="F28" s="3">
        <f t="shared" si="0"/>
        <v>4.4999999999999971E-3</v>
      </c>
      <c r="G28" s="3">
        <f t="shared" si="3"/>
        <v>9.1923881554251165E-3</v>
      </c>
      <c r="H28" s="3">
        <f t="shared" si="0"/>
        <v>-5.0000000000000044E-4</v>
      </c>
      <c r="I28" s="3">
        <f t="shared" si="4"/>
        <v>9.1923881554251251E-3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1.4499999999999999E-2</v>
      </c>
      <c r="C29" s="3">
        <f t="shared" si="2"/>
        <v>7.0710678118656779E-4</v>
      </c>
      <c r="D29" s="3">
        <f t="shared" si="0"/>
        <v>3.0000000000000027E-3</v>
      </c>
      <c r="E29" s="3">
        <f t="shared" si="2"/>
        <v>0</v>
      </c>
      <c r="F29" s="3">
        <f t="shared" si="0"/>
        <v>2.1499999999999998E-2</v>
      </c>
      <c r="G29" s="3">
        <f t="shared" si="3"/>
        <v>1.2020815280171307E-2</v>
      </c>
      <c r="H29" s="3">
        <f t="shared" si="0"/>
        <v>4.9999999999999975E-3</v>
      </c>
      <c r="I29" s="3">
        <f t="shared" si="4"/>
        <v>1.4142135623731061E-3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2.5000000000000022E-3</v>
      </c>
      <c r="C30" s="3">
        <f t="shared" si="2"/>
        <v>2.1213203435596446E-3</v>
      </c>
      <c r="D30" s="3">
        <f t="shared" si="0"/>
        <v>9.5000000000000015E-3</v>
      </c>
      <c r="E30" s="3">
        <f t="shared" si="2"/>
        <v>6.3639610306789243E-3</v>
      </c>
      <c r="F30" s="3">
        <f t="shared" si="0"/>
        <v>1.4999999999999999E-2</v>
      </c>
      <c r="G30" s="3">
        <f t="shared" si="3"/>
        <v>4.2426406871192857E-3</v>
      </c>
      <c r="H30" s="3">
        <f t="shared" si="0"/>
        <v>2.9999999999999957E-3</v>
      </c>
      <c r="I30" s="3">
        <f t="shared" si="4"/>
        <v>1.2727922061357857E-2</v>
      </c>
      <c r="J30" s="3">
        <f>AVERAGE(J19:J20)</f>
        <v>-1.4999999999999979E-3</v>
      </c>
      <c r="K30" s="3">
        <f>STDEV(J19:J20)</f>
        <v>7.0710678118654328E-4</v>
      </c>
      <c r="L30" s="3">
        <f>AVERAGE(K19:K20)</f>
        <v>9.9999999999999395E-4</v>
      </c>
      <c r="M30" s="3">
        <f>STDEV(K19:K20)</f>
        <v>1.4142135623730866E-3</v>
      </c>
    </row>
    <row r="31" spans="1:13" x14ac:dyDescent="0.25">
      <c r="A31" t="s">
        <v>18</v>
      </c>
      <c r="B31" s="3">
        <f t="shared" si="1"/>
        <v>8.5000000000000006E-3</v>
      </c>
      <c r="C31" s="3">
        <f t="shared" si="2"/>
        <v>3.5355339059327307E-3</v>
      </c>
      <c r="D31" s="3">
        <f t="shared" si="0"/>
        <v>3.4999999999999962E-3</v>
      </c>
      <c r="E31" s="3">
        <f t="shared" si="2"/>
        <v>1.0606601717798213E-2</v>
      </c>
      <c r="F31" s="3">
        <f t="shared" si="0"/>
        <v>1.1999999999999997E-2</v>
      </c>
      <c r="G31" s="3">
        <f t="shared" si="3"/>
        <v>2.8284271247461927E-3</v>
      </c>
      <c r="H31" s="3">
        <f t="shared" si="0"/>
        <v>-2.9999999999999992E-3</v>
      </c>
      <c r="I31" s="3">
        <f t="shared" si="4"/>
        <v>1.4142135623730913E-3</v>
      </c>
      <c r="L31" s="3"/>
      <c r="M31" s="3"/>
    </row>
    <row r="32" spans="1:13" x14ac:dyDescent="0.25">
      <c r="A32" t="s">
        <v>19</v>
      </c>
      <c r="B32" s="3">
        <f t="shared" si="1"/>
        <v>9.4999999999999946E-3</v>
      </c>
      <c r="C32" s="3">
        <f t="shared" si="2"/>
        <v>3.5355339059327195E-3</v>
      </c>
      <c r="D32" s="3">
        <f t="shared" si="0"/>
        <v>5.9999999999999984E-3</v>
      </c>
      <c r="E32" s="3">
        <f t="shared" si="2"/>
        <v>1.4142135623731061E-3</v>
      </c>
      <c r="F32" s="3">
        <f t="shared" si="0"/>
        <v>1.1999999999999997E-2</v>
      </c>
      <c r="G32" s="3">
        <f t="shared" si="3"/>
        <v>7.0710678118654805E-3</v>
      </c>
      <c r="H32" s="3">
        <f t="shared" si="0"/>
        <v>0</v>
      </c>
      <c r="I32" s="3">
        <f t="shared" si="4"/>
        <v>0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1.6000000000000014E-2</v>
      </c>
      <c r="C33" s="3">
        <f t="shared" si="2"/>
        <v>1.6970562748477157E-2</v>
      </c>
      <c r="D33" s="3">
        <f t="shared" si="0"/>
        <v>5.4999999999999979E-3</v>
      </c>
      <c r="E33" s="3">
        <f t="shared" si="2"/>
        <v>1.0606601717798213E-2</v>
      </c>
      <c r="F33" s="3">
        <f t="shared" si="0"/>
        <v>2.4000000000000007E-2</v>
      </c>
      <c r="G33" s="3">
        <f t="shared" si="3"/>
        <v>2.9698484809835002E-2</v>
      </c>
      <c r="H33" s="3">
        <f t="shared" si="0"/>
        <v>3.0000000000000027E-3</v>
      </c>
      <c r="I33" s="3">
        <f t="shared" si="4"/>
        <v>1.4142135623730963E-3</v>
      </c>
      <c r="J33" s="3"/>
      <c r="K33" s="3"/>
      <c r="L33" s="3"/>
      <c r="M33" s="3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workbookViewId="0">
      <selection activeCell="A25" sqref="A25:M33"/>
    </sheetView>
  </sheetViews>
  <sheetFormatPr baseColWidth="10" defaultColWidth="8.85546875" defaultRowHeight="15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0.107</v>
      </c>
      <c r="C3">
        <v>9.4E-2</v>
      </c>
      <c r="D3">
        <v>8.4000000000000005E-2</v>
      </c>
      <c r="E3">
        <v>9.8000000000000004E-2</v>
      </c>
      <c r="F3">
        <v>0.159</v>
      </c>
      <c r="G3">
        <v>0.13500000000000001</v>
      </c>
      <c r="H3">
        <v>8.5999999999999993E-2</v>
      </c>
      <c r="I3">
        <v>6.5000000000000002E-2</v>
      </c>
      <c r="J3">
        <v>5.3999999999999999E-2</v>
      </c>
      <c r="K3">
        <v>4.9000000000000002E-2</v>
      </c>
      <c r="L3">
        <v>0.121</v>
      </c>
      <c r="M3">
        <v>9.2999999999999999E-2</v>
      </c>
    </row>
    <row r="4" spans="1:13" x14ac:dyDescent="0.25">
      <c r="A4" t="s">
        <v>14</v>
      </c>
      <c r="B4">
        <v>0.13700000000000001</v>
      </c>
      <c r="C4">
        <v>0.14699999999999999</v>
      </c>
      <c r="D4">
        <v>8.1000000000000003E-2</v>
      </c>
      <c r="E4">
        <v>9.6000000000000002E-2</v>
      </c>
      <c r="F4">
        <v>0.158</v>
      </c>
      <c r="G4">
        <v>0.14099999999999999</v>
      </c>
      <c r="H4">
        <v>0.10100000000000001</v>
      </c>
      <c r="I4">
        <v>9.7000000000000003E-2</v>
      </c>
      <c r="J4">
        <v>6.2E-2</v>
      </c>
      <c r="K4">
        <v>5.6000000000000001E-2</v>
      </c>
      <c r="L4">
        <v>9.4E-2</v>
      </c>
      <c r="M4">
        <v>0.111</v>
      </c>
    </row>
    <row r="5" spans="1:13" x14ac:dyDescent="0.25">
      <c r="A5" t="s">
        <v>15</v>
      </c>
      <c r="B5">
        <v>0.14699999999999999</v>
      </c>
      <c r="C5">
        <v>0.156</v>
      </c>
      <c r="D5">
        <v>8.5999999999999993E-2</v>
      </c>
      <c r="E5">
        <v>8.4000000000000005E-2</v>
      </c>
      <c r="F5">
        <v>0.113</v>
      </c>
      <c r="G5">
        <v>0.115</v>
      </c>
      <c r="H5">
        <v>8.1000000000000003E-2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25">
      <c r="A6" t="s">
        <v>16</v>
      </c>
      <c r="B6">
        <v>0.187</v>
      </c>
      <c r="C6">
        <v>0.20300000000000001</v>
      </c>
      <c r="D6">
        <v>8.5000000000000006E-2</v>
      </c>
      <c r="E6">
        <v>9.2999999999999999E-2</v>
      </c>
      <c r="F6">
        <v>0.13</v>
      </c>
      <c r="G6">
        <v>0.23100000000000001</v>
      </c>
      <c r="H6">
        <v>7.1999999999999995E-2</v>
      </c>
      <c r="I6">
        <v>0.115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25">
      <c r="A7" t="s">
        <v>17</v>
      </c>
      <c r="B7">
        <v>0.13900000000000001</v>
      </c>
      <c r="C7">
        <v>0.158</v>
      </c>
      <c r="D7">
        <v>8.5000000000000006E-2</v>
      </c>
      <c r="E7">
        <v>0.10199999999999999</v>
      </c>
      <c r="F7">
        <v>0.124</v>
      </c>
      <c r="G7">
        <v>0.121</v>
      </c>
      <c r="H7">
        <v>0.107</v>
      </c>
      <c r="I7">
        <v>7.8E-2</v>
      </c>
      <c r="J7">
        <v>6.9000000000000006E-2</v>
      </c>
      <c r="K7">
        <v>7.1999999999999995E-2</v>
      </c>
      <c r="L7">
        <v>0.63200000000000001</v>
      </c>
      <c r="M7">
        <v>9.6000000000000002E-2</v>
      </c>
    </row>
    <row r="8" spans="1:13" x14ac:dyDescent="0.25">
      <c r="A8" t="s">
        <v>18</v>
      </c>
      <c r="B8">
        <v>0.127</v>
      </c>
      <c r="C8">
        <v>9.9000000000000005E-2</v>
      </c>
      <c r="D8">
        <v>7.5999999999999998E-2</v>
      </c>
      <c r="E8">
        <v>8.5999999999999993E-2</v>
      </c>
      <c r="F8">
        <v>0.109</v>
      </c>
      <c r="G8">
        <v>0.09</v>
      </c>
      <c r="H8">
        <v>7.3999999999999996E-2</v>
      </c>
      <c r="I8">
        <v>5.5E-2</v>
      </c>
      <c r="J8">
        <v>4.8000000000000001E-2</v>
      </c>
      <c r="K8">
        <v>6.2E-2</v>
      </c>
      <c r="L8">
        <v>0.35</v>
      </c>
      <c r="M8">
        <v>9.8000000000000004E-2</v>
      </c>
    </row>
    <row r="9" spans="1:13" x14ac:dyDescent="0.25">
      <c r="A9" t="s">
        <v>19</v>
      </c>
      <c r="B9">
        <v>0.159</v>
      </c>
      <c r="C9">
        <v>0.17499999999999999</v>
      </c>
      <c r="D9">
        <v>0.104</v>
      </c>
      <c r="E9">
        <v>0.112</v>
      </c>
      <c r="F9">
        <v>0.123</v>
      </c>
      <c r="G9">
        <v>0.115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25">
      <c r="A10" t="s">
        <v>20</v>
      </c>
      <c r="B10">
        <v>0.218</v>
      </c>
      <c r="C10">
        <v>0.23400000000000001</v>
      </c>
      <c r="D10">
        <v>0.10199999999999999</v>
      </c>
      <c r="E10">
        <v>0.125</v>
      </c>
      <c r="F10">
        <v>0.27300000000000002</v>
      </c>
      <c r="G10">
        <v>0.16200000000000001</v>
      </c>
      <c r="H10">
        <v>9.9000000000000005E-2</v>
      </c>
      <c r="I10">
        <v>9.6000000000000002E-2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 s="3">
        <f xml:space="preserve"> B3 - '+0 seg'!$B$3</f>
        <v>8.9999999999999941E-3</v>
      </c>
      <c r="C15" s="3">
        <f xml:space="preserve"> C3 - '+0 seg'!$C$3</f>
        <v>8.9999999999999941E-3</v>
      </c>
      <c r="D15" s="3">
        <f xml:space="preserve"> D3 - '+0 seg'!$D$3</f>
        <v>1.100000000000001E-2</v>
      </c>
      <c r="E15" s="3">
        <f xml:space="preserve"> E3 - '+0 seg'!$E$3</f>
        <v>1.100000000000001E-2</v>
      </c>
      <c r="F15" s="3">
        <f xml:space="preserve"> F3 - '+0 seg'!$F$3</f>
        <v>1.2000000000000011E-2</v>
      </c>
      <c r="G15" s="3">
        <f xml:space="preserve"> G3 - '+0 seg'!$G$3</f>
        <v>2.0000000000000004E-2</v>
      </c>
      <c r="H15" s="3">
        <f xml:space="preserve"> H3 - '+0 seg'!$H$3</f>
        <v>2.9999999999999888E-3</v>
      </c>
      <c r="I15" s="3">
        <f xml:space="preserve"> I3 - '+0 seg'!$I$3</f>
        <v>4.0000000000000036E-3</v>
      </c>
      <c r="J15" s="3">
        <f xml:space="preserve"> J3 - '+0 seg'!$J$3</f>
        <v>3.0000000000000027E-3</v>
      </c>
      <c r="K15" s="3">
        <f xml:space="preserve"> K3 - '+0 seg'!$K$3</f>
        <v>-2.9999999999999957E-3</v>
      </c>
      <c r="L15" s="3">
        <f xml:space="preserve"> L3 - '+0 seg'!$L$3</f>
        <v>1.0000000000000009E-3</v>
      </c>
      <c r="M15" s="3">
        <f xml:space="preserve"> M3 - '+0 seg'!$M$3</f>
        <v>1.0000000000000009E-3</v>
      </c>
    </row>
    <row r="16" spans="1:13" x14ac:dyDescent="0.25">
      <c r="A16" t="s">
        <v>14</v>
      </c>
      <c r="B16" s="3">
        <f xml:space="preserve"> B4 - '+0 seg'!$B$4</f>
        <v>9.000000000000008E-3</v>
      </c>
      <c r="C16" s="3">
        <f xml:space="preserve"> C4 - '+0 seg'!$C$4</f>
        <v>6.9999999999999785E-3</v>
      </c>
      <c r="D16" s="3">
        <f xml:space="preserve"> D4 - '+0 seg'!$D$4</f>
        <v>5.0000000000000044E-3</v>
      </c>
      <c r="E16" s="3">
        <f xml:space="preserve"> E4 - '+0 seg'!$E$4</f>
        <v>1.1999999999999997E-2</v>
      </c>
      <c r="F16" s="3">
        <f xml:space="preserve"> F4 - '+0 seg'!$F$4</f>
        <v>1.2000000000000011E-2</v>
      </c>
      <c r="G16" s="3">
        <f xml:space="preserve"> G4 - '+0 seg'!$G$4</f>
        <v>1.3999999999999985E-2</v>
      </c>
      <c r="H16" s="3">
        <f xml:space="preserve"> H4 - '+0 seg'!$H$4</f>
        <v>1.0000000000000009E-2</v>
      </c>
      <c r="I16" s="3">
        <f xml:space="preserve"> I4 - '+0 seg'!$I$4</f>
        <v>5.0000000000000044E-3</v>
      </c>
      <c r="J16" s="3">
        <f xml:space="preserve"> J4 - '+0 seg'!$J$4</f>
        <v>0</v>
      </c>
      <c r="K16" s="3">
        <f xml:space="preserve"> K4 - '+0 seg'!$K$4</f>
        <v>4.0000000000000036E-3</v>
      </c>
      <c r="L16" s="3">
        <f xml:space="preserve"> L4 - '+0 seg'!$L$4</f>
        <v>0</v>
      </c>
      <c r="M16" s="3">
        <f xml:space="preserve"> M4 - '+0 seg'!$M$4</f>
        <v>0</v>
      </c>
    </row>
    <row r="17" spans="1:13" x14ac:dyDescent="0.25">
      <c r="A17" t="s">
        <v>15</v>
      </c>
      <c r="B17" s="3">
        <f xml:space="preserve"> B5 - '+0 seg'!$B$5</f>
        <v>6.0000000000000053E-3</v>
      </c>
      <c r="C17" s="3">
        <f xml:space="preserve"> C5 - '+0 seg'!$C$5</f>
        <v>1.4000000000000012E-2</v>
      </c>
      <c r="D17" s="3">
        <f xml:space="preserve"> D5 - '+0 seg'!$D$5</f>
        <v>5.9999999999999915E-3</v>
      </c>
      <c r="E17" s="3">
        <f xml:space="preserve"> E5 - '+0 seg'!$E$5</f>
        <v>4.0000000000000036E-3</v>
      </c>
      <c r="F17" s="3">
        <f xml:space="preserve"> F5 - '+0 seg'!$F$5</f>
        <v>1.1999999999999997E-2</v>
      </c>
      <c r="G17" s="3">
        <f xml:space="preserve"> G5 - '+0 seg'!$G$5</f>
        <v>-1.0000000000000009E-3</v>
      </c>
      <c r="H17" s="3">
        <f xml:space="preserve"> H5 - '+0 seg'!$H$5</f>
        <v>6.0000000000000053E-3</v>
      </c>
      <c r="I17" s="3">
        <f xml:space="preserve"> I5 - '+0 seg'!$I$5</f>
        <v>-7.0000000000000062E-3</v>
      </c>
      <c r="J17" s="3">
        <f xml:space="preserve"> J5 - '+0 seg'!$J$5</f>
        <v>0</v>
      </c>
      <c r="K17" s="3">
        <f xml:space="preserve"> K5 - '+0 seg'!$K$5</f>
        <v>1.0000000000000009E-3</v>
      </c>
      <c r="L17" s="3">
        <f xml:space="preserve"> L5 - '+0 seg'!$L$5</f>
        <v>0</v>
      </c>
      <c r="M17" s="3">
        <f xml:space="preserve"> M5 - '+0 seg'!$M$5</f>
        <v>1.0000000000000009E-3</v>
      </c>
    </row>
    <row r="18" spans="1:13" x14ac:dyDescent="0.25">
      <c r="A18" t="s">
        <v>16</v>
      </c>
      <c r="B18" s="3">
        <f xml:space="preserve"> B6 - '+0 seg'!$B$6</f>
        <v>1.5999999999999986E-2</v>
      </c>
      <c r="C18" s="3">
        <f xml:space="preserve"> C6 - '+0 seg'!$C$6</f>
        <v>1.9000000000000017E-2</v>
      </c>
      <c r="D18" s="3">
        <f xml:space="preserve"> D6 - '+0 seg'!$D$6</f>
        <v>3.0000000000000027E-3</v>
      </c>
      <c r="E18" s="3">
        <f xml:space="preserve"> E6 - '+0 seg'!$E$6</f>
        <v>2.0000000000000018E-3</v>
      </c>
      <c r="F18" s="3">
        <f xml:space="preserve"> F6 - '+0 seg'!$F$6</f>
        <v>1.2999999999999998E-2</v>
      </c>
      <c r="G18" s="3">
        <f xml:space="preserve"> G6 - '+0 seg'!$G$6</f>
        <v>3.2000000000000001E-2</v>
      </c>
      <c r="H18" s="3">
        <f xml:space="preserve"> H6 - '+0 seg'!$H$6</f>
        <v>3.9999999999999897E-3</v>
      </c>
      <c r="I18" s="3">
        <f xml:space="preserve"> I6 - '+0 seg'!$I$6</f>
        <v>6.0000000000000053E-3</v>
      </c>
      <c r="J18" s="3">
        <f xml:space="preserve"> J6 - '+0 seg'!$J$6</f>
        <v>1.0000000000000009E-3</v>
      </c>
      <c r="K18" s="3">
        <f xml:space="preserve"> K6 - '+0 seg'!$K$6</f>
        <v>1.0000000000000009E-3</v>
      </c>
      <c r="L18" s="3">
        <f xml:space="preserve"> L6 - '+0 seg'!$L$6</f>
        <v>0</v>
      </c>
      <c r="M18" s="3">
        <f xml:space="preserve"> M6 - '+0 seg'!$M$6</f>
        <v>2.0000000000000018E-3</v>
      </c>
    </row>
    <row r="19" spans="1:13" x14ac:dyDescent="0.25">
      <c r="A19" t="s">
        <v>17</v>
      </c>
      <c r="B19" s="3">
        <f xml:space="preserve"> B7 - '+0 seg'!$B$7</f>
        <v>5.0000000000000044E-3</v>
      </c>
      <c r="C19" s="3">
        <f xml:space="preserve"> C7 - '+0 seg'!$C$7</f>
        <v>7.0000000000000062E-3</v>
      </c>
      <c r="D19" s="3">
        <f xml:space="preserve"> D7 - '+0 seg'!$D$7</f>
        <v>5.0000000000000044E-3</v>
      </c>
      <c r="E19" s="3">
        <f xml:space="preserve"> E7 - '+0 seg'!$E$7</f>
        <v>1.3999999999999999E-2</v>
      </c>
      <c r="F19" s="3">
        <f xml:space="preserve"> F7 - '+0 seg'!$F$7</f>
        <v>1.1999999999999997E-2</v>
      </c>
      <c r="G19" s="3">
        <f xml:space="preserve"> G7 - '+0 seg'!$G$7</f>
        <v>1.8000000000000002E-2</v>
      </c>
      <c r="H19" s="3">
        <f xml:space="preserve"> H7 - '+0 seg'!$H$7</f>
        <v>1.2999999999999998E-2</v>
      </c>
      <c r="I19" s="3">
        <f xml:space="preserve"> I7 - '+0 seg'!$I$7</f>
        <v>-6.0000000000000053E-3</v>
      </c>
      <c r="J19" s="3">
        <f xml:space="preserve"> J7 - '+0 seg'!$J$7</f>
        <v>0</v>
      </c>
      <c r="K19" s="3">
        <f xml:space="preserve"> K7 - '+0 seg'!$K$7</f>
        <v>2.9999999999999888E-3</v>
      </c>
      <c r="L19" s="3">
        <f xml:space="preserve"> L7 - '+0 seg'!$L$7</f>
        <v>-1.100000000000001E-2</v>
      </c>
      <c r="M19" s="3">
        <f xml:space="preserve"> M7 - '+0 seg'!$M$7</f>
        <v>-1.0000000000000009E-3</v>
      </c>
    </row>
    <row r="20" spans="1:13" x14ac:dyDescent="0.25">
      <c r="A20" t="s">
        <v>18</v>
      </c>
      <c r="B20" s="3">
        <f xml:space="preserve"> B8 - '+0 seg'!$B$8</f>
        <v>1.0999999999999996E-2</v>
      </c>
      <c r="C20" s="3">
        <f xml:space="preserve"> C8 - '+0 seg'!$C$8</f>
        <v>8.0000000000000071E-3</v>
      </c>
      <c r="D20" s="3">
        <f xml:space="preserve"> D8 - '+0 seg'!$D$8</f>
        <v>-3.0000000000000027E-3</v>
      </c>
      <c r="E20" s="3">
        <f xml:space="preserve"> E8 - '+0 seg'!$E$8</f>
        <v>1.0999999999999996E-2</v>
      </c>
      <c r="F20" s="3">
        <f xml:space="preserve"> F8 - '+0 seg'!$F$8</f>
        <v>1.2999999999999998E-2</v>
      </c>
      <c r="G20" s="3">
        <f xml:space="preserve"> G8 - '+0 seg'!$G$8</f>
        <v>1.0999999999999996E-2</v>
      </c>
      <c r="H20" s="3">
        <f xml:space="preserve"> H8 - '+0 seg'!$H$8</f>
        <v>-2.0000000000000018E-3</v>
      </c>
      <c r="I20" s="3">
        <f xml:space="preserve"> I8 - '+0 seg'!$I$8</f>
        <v>-3.9999999999999966E-3</v>
      </c>
      <c r="J20" s="3">
        <f xml:space="preserve"> J8 - '+0 seg'!$J$8</f>
        <v>-2.9999999999999957E-3</v>
      </c>
      <c r="K20" s="3">
        <f xml:space="preserve"> K8 - '+0 seg'!$K$8</f>
        <v>0</v>
      </c>
      <c r="L20" s="3">
        <f xml:space="preserve"> L8 - '+0 seg'!$L$8</f>
        <v>-1.9000000000000017E-2</v>
      </c>
      <c r="M20" s="3">
        <f xml:space="preserve"> M8 - '+0 seg'!$M$8</f>
        <v>1.0000000000000009E-3</v>
      </c>
    </row>
    <row r="21" spans="1:13" x14ac:dyDescent="0.25">
      <c r="A21" t="s">
        <v>19</v>
      </c>
      <c r="B21" s="3">
        <f xml:space="preserve"> B9 - '+0 seg'!$B$9</f>
        <v>8.0000000000000071E-3</v>
      </c>
      <c r="C21" s="3">
        <f xml:space="preserve"> C9 - '+0 seg'!$C$9</f>
        <v>1.2999999999999984E-2</v>
      </c>
      <c r="D21" s="3">
        <f xml:space="preserve"> D9 - '+0 seg'!$D$9</f>
        <v>3.9999999999999897E-3</v>
      </c>
      <c r="E21" s="3">
        <f xml:space="preserve"> E9 - '+0 seg'!$E$9</f>
        <v>7.0000000000000062E-3</v>
      </c>
      <c r="F21" s="3">
        <f xml:space="preserve"> F9 - '+0 seg'!$F$9</f>
        <v>6.9999999999999923E-3</v>
      </c>
      <c r="G21" s="3">
        <f xml:space="preserve"> G9 - '+0 seg'!$G$9</f>
        <v>1.7000000000000001E-2</v>
      </c>
      <c r="H21" s="3">
        <f xml:space="preserve"> H9 - '+0 seg'!$H$9</f>
        <v>9.9999999999998701E-4</v>
      </c>
      <c r="I21" s="3">
        <f xml:space="preserve"> I9 - '+0 seg'!$I$9</f>
        <v>0</v>
      </c>
      <c r="J21" s="3">
        <f xml:space="preserve"> J9 - '+0 seg'!$J$9</f>
        <v>0</v>
      </c>
      <c r="K21" s="3">
        <f xml:space="preserve"> K9 - '+0 seg'!$K$9</f>
        <v>1.0000000000000009E-3</v>
      </c>
      <c r="L21" s="3">
        <f xml:space="preserve"> L9 - '+0 seg'!$L$9</f>
        <v>0</v>
      </c>
      <c r="M21" s="3">
        <f xml:space="preserve"> M9 - '+0 seg'!$M$9</f>
        <v>0</v>
      </c>
    </row>
    <row r="22" spans="1:13" x14ac:dyDescent="0.25">
      <c r="A22" t="s">
        <v>20</v>
      </c>
      <c r="B22" s="3">
        <f xml:space="preserve"> B10 - '+0 seg'!$B$10</f>
        <v>-1.0000000000000009E-3</v>
      </c>
      <c r="C22" s="3">
        <f xml:space="preserve"> C10 - '+0 seg'!$C$10</f>
        <v>2.9000000000000026E-2</v>
      </c>
      <c r="D22" s="3">
        <f xml:space="preserve"> D10 - '+0 seg'!$D$10</f>
        <v>-3.0000000000000027E-3</v>
      </c>
      <c r="E22" s="3">
        <f xml:space="preserve"> E10 - '+0 seg'!$E$10</f>
        <v>1.2999999999999998E-2</v>
      </c>
      <c r="F22" s="3">
        <f xml:space="preserve"> F10 - '+0 seg'!$F$10</f>
        <v>4.7000000000000014E-2</v>
      </c>
      <c r="G22" s="3">
        <f xml:space="preserve"> G10 - '+0 seg'!$G$10</f>
        <v>3.0000000000000027E-3</v>
      </c>
      <c r="H22" s="3">
        <f xml:space="preserve"> H10 - '+0 seg'!$H$10</f>
        <v>2.0000000000000018E-3</v>
      </c>
      <c r="I22" s="3">
        <f xml:space="preserve"> I10 - '+0 seg'!$I$10</f>
        <v>4.0000000000000036E-3</v>
      </c>
      <c r="J22" s="3">
        <f xml:space="preserve"> J10 - '+0 seg'!$J$10</f>
        <v>0</v>
      </c>
      <c r="K22" s="3">
        <f xml:space="preserve"> K10 - '+0 seg'!$K$10</f>
        <v>0</v>
      </c>
      <c r="L22" s="3">
        <f xml:space="preserve"> L10 - '+0 seg'!$L$10</f>
        <v>0</v>
      </c>
      <c r="M22" s="3">
        <f xml:space="preserve"> M10 - '+0 seg'!$M$10</f>
        <v>-2.0000000000000018E-3</v>
      </c>
    </row>
    <row r="25" spans="1:13" x14ac:dyDescent="0.25">
      <c r="A25" t="s">
        <v>0</v>
      </c>
      <c r="B25" t="s">
        <v>21</v>
      </c>
      <c r="C25" t="s">
        <v>22</v>
      </c>
      <c r="D25" t="s">
        <v>28</v>
      </c>
      <c r="E25" t="s">
        <v>27</v>
      </c>
      <c r="F25" t="s">
        <v>25</v>
      </c>
      <c r="G25" t="s">
        <v>26</v>
      </c>
      <c r="H25" t="s">
        <v>24</v>
      </c>
      <c r="I25" t="s">
        <v>23</v>
      </c>
      <c r="J25" t="s">
        <v>111</v>
      </c>
      <c r="K25" t="s">
        <v>112</v>
      </c>
      <c r="L25" t="s">
        <v>113</v>
      </c>
      <c r="M25" t="s">
        <v>114</v>
      </c>
    </row>
    <row r="26" spans="1:13" x14ac:dyDescent="0.25">
      <c r="A26" t="s">
        <v>13</v>
      </c>
      <c r="B26" s="3">
        <f>AVERAGE(B15:C15)</f>
        <v>8.9999999999999941E-3</v>
      </c>
      <c r="C26" s="3">
        <f>STDEV(B15:C15)</f>
        <v>0</v>
      </c>
      <c r="D26" s="3">
        <f t="shared" ref="D26:H33" si="0">AVERAGE(D15:E15)</f>
        <v>1.100000000000001E-2</v>
      </c>
      <c r="E26" s="3">
        <f>STDEV(D15:E15)</f>
        <v>0</v>
      </c>
      <c r="F26" s="3">
        <f t="shared" si="0"/>
        <v>1.6000000000000007E-2</v>
      </c>
      <c r="G26" s="3">
        <f>STDEV(F15:G15)</f>
        <v>5.6568542494923723E-3</v>
      </c>
      <c r="H26" s="3">
        <f t="shared" si="0"/>
        <v>3.4999999999999962E-3</v>
      </c>
      <c r="I26" s="3">
        <f>STDEV(H15:I15)</f>
        <v>7.0710678118655803E-4</v>
      </c>
      <c r="J26" s="3">
        <f>AVERAGE(J15:J16)</f>
        <v>1.5000000000000013E-3</v>
      </c>
      <c r="K26" s="3">
        <f>STDEV(J15:J16)</f>
        <v>2.1213203435596446E-3</v>
      </c>
      <c r="L26" s="3">
        <f>AVERAGE(K15:K16)</f>
        <v>5.0000000000000391E-4</v>
      </c>
      <c r="M26" s="3">
        <f>STDEV(K15:K16)</f>
        <v>4.9497474683058325E-3</v>
      </c>
    </row>
    <row r="27" spans="1:13" x14ac:dyDescent="0.25">
      <c r="A27" t="s">
        <v>14</v>
      </c>
      <c r="B27" s="3">
        <f t="shared" ref="B27:B33" si="1">AVERAGE(B16:C16)</f>
        <v>7.9999999999999932E-3</v>
      </c>
      <c r="C27" s="3">
        <f t="shared" ref="C27:E33" si="2">STDEV(B16:C16)</f>
        <v>1.4142135623731161E-3</v>
      </c>
      <c r="D27" s="3">
        <f t="shared" si="0"/>
        <v>8.5000000000000006E-3</v>
      </c>
      <c r="E27" s="3">
        <f t="shared" si="2"/>
        <v>4.9497474683058273E-3</v>
      </c>
      <c r="F27" s="3">
        <f t="shared" si="0"/>
        <v>1.2999999999999998E-2</v>
      </c>
      <c r="G27" s="3">
        <f t="shared" ref="G27:G33" si="3">STDEV(F16:G16)</f>
        <v>1.4142135623730768E-3</v>
      </c>
      <c r="H27" s="3">
        <f t="shared" si="0"/>
        <v>7.5000000000000067E-3</v>
      </c>
      <c r="I27" s="3">
        <f t="shared" ref="I27:I33" si="4">STDEV(H16:I16)</f>
        <v>3.5355339059327403E-3</v>
      </c>
      <c r="L27" s="3"/>
      <c r="M27" s="3"/>
    </row>
    <row r="28" spans="1:13" x14ac:dyDescent="0.25">
      <c r="A28" t="s">
        <v>15</v>
      </c>
      <c r="B28" s="3">
        <f t="shared" si="1"/>
        <v>1.0000000000000009E-2</v>
      </c>
      <c r="C28" s="3">
        <f t="shared" si="2"/>
        <v>5.6568542494923844E-3</v>
      </c>
      <c r="D28" s="3">
        <f t="shared" si="0"/>
        <v>4.9999999999999975E-3</v>
      </c>
      <c r="E28" s="3">
        <f t="shared" si="2"/>
        <v>1.4142135623730866E-3</v>
      </c>
      <c r="F28" s="3">
        <f t="shared" si="0"/>
        <v>5.4999999999999979E-3</v>
      </c>
      <c r="G28" s="3">
        <f t="shared" si="3"/>
        <v>9.1923881554251165E-3</v>
      </c>
      <c r="H28" s="3">
        <f t="shared" si="0"/>
        <v>-5.0000000000000044E-4</v>
      </c>
      <c r="I28" s="3">
        <f t="shared" si="4"/>
        <v>9.1923881554251251E-3</v>
      </c>
      <c r="J28" s="3"/>
      <c r="K28" s="3"/>
      <c r="L28" s="3"/>
      <c r="M28" s="3"/>
    </row>
    <row r="29" spans="1:13" x14ac:dyDescent="0.25">
      <c r="A29" t="s">
        <v>16</v>
      </c>
      <c r="B29" s="3">
        <f t="shared" si="1"/>
        <v>1.7500000000000002E-2</v>
      </c>
      <c r="C29" s="3">
        <f t="shared" si="2"/>
        <v>2.1213203435596641E-3</v>
      </c>
      <c r="D29" s="3">
        <f t="shared" si="0"/>
        <v>2.5000000000000022E-3</v>
      </c>
      <c r="E29" s="3">
        <f t="shared" si="2"/>
        <v>7.0710678118654816E-4</v>
      </c>
      <c r="F29" s="3">
        <f t="shared" si="0"/>
        <v>2.2499999999999999E-2</v>
      </c>
      <c r="G29" s="3">
        <f t="shared" si="3"/>
        <v>1.3435028842544399E-2</v>
      </c>
      <c r="H29" s="3">
        <f t="shared" si="0"/>
        <v>4.9999999999999975E-3</v>
      </c>
      <c r="I29" s="3">
        <f t="shared" si="4"/>
        <v>1.4142135623731061E-3</v>
      </c>
      <c r="J29" s="3"/>
      <c r="K29" s="3"/>
      <c r="L29" s="3"/>
      <c r="M29" s="3"/>
    </row>
    <row r="30" spans="1:13" x14ac:dyDescent="0.25">
      <c r="A30" t="s">
        <v>17</v>
      </c>
      <c r="B30" s="3">
        <f t="shared" si="1"/>
        <v>6.0000000000000053E-3</v>
      </c>
      <c r="C30" s="3">
        <f t="shared" si="2"/>
        <v>1.4142135623730963E-3</v>
      </c>
      <c r="D30" s="3">
        <f t="shared" si="0"/>
        <v>9.5000000000000015E-3</v>
      </c>
      <c r="E30" s="3">
        <f t="shared" si="2"/>
        <v>6.3639610306789243E-3</v>
      </c>
      <c r="F30" s="3">
        <f t="shared" si="0"/>
        <v>1.4999999999999999E-2</v>
      </c>
      <c r="G30" s="3">
        <f t="shared" si="3"/>
        <v>4.2426406871192857E-3</v>
      </c>
      <c r="H30" s="3">
        <f t="shared" si="0"/>
        <v>3.4999999999999962E-3</v>
      </c>
      <c r="I30" s="3">
        <f t="shared" si="4"/>
        <v>1.3435028842544406E-2</v>
      </c>
      <c r="J30" s="3">
        <f>AVERAGE(J19:J20)</f>
        <v>-1.4999999999999979E-3</v>
      </c>
      <c r="K30" s="3">
        <f>STDEV(J19:J20)</f>
        <v>2.1213203435596394E-3</v>
      </c>
      <c r="L30" s="3">
        <f>AVERAGE(K19:K20)</f>
        <v>1.4999999999999944E-3</v>
      </c>
      <c r="M30" s="3">
        <f>STDEV(K19:K20)</f>
        <v>2.1213203435596346E-3</v>
      </c>
    </row>
    <row r="31" spans="1:13" x14ac:dyDescent="0.25">
      <c r="A31" t="s">
        <v>18</v>
      </c>
      <c r="B31" s="3">
        <f t="shared" si="1"/>
        <v>9.5000000000000015E-3</v>
      </c>
      <c r="C31" s="3">
        <f t="shared" si="2"/>
        <v>2.1213203435596346E-3</v>
      </c>
      <c r="D31" s="3">
        <f t="shared" si="0"/>
        <v>3.9999999999999966E-3</v>
      </c>
      <c r="E31" s="3">
        <f t="shared" si="2"/>
        <v>9.8994949366116632E-3</v>
      </c>
      <c r="F31" s="3">
        <f t="shared" si="0"/>
        <v>1.1999999999999997E-2</v>
      </c>
      <c r="G31" s="3">
        <f t="shared" si="3"/>
        <v>1.4142135623730963E-3</v>
      </c>
      <c r="H31" s="3">
        <f t="shared" si="0"/>
        <v>-2.9999999999999992E-3</v>
      </c>
      <c r="I31" s="3">
        <f t="shared" si="4"/>
        <v>1.4142135623730913E-3</v>
      </c>
      <c r="L31" s="3"/>
      <c r="M31" s="3"/>
    </row>
    <row r="32" spans="1:13" x14ac:dyDescent="0.25">
      <c r="A32" t="s">
        <v>19</v>
      </c>
      <c r="B32" s="3">
        <f t="shared" si="1"/>
        <v>1.0499999999999995E-2</v>
      </c>
      <c r="C32" s="3">
        <f t="shared" si="2"/>
        <v>3.5355339059327229E-3</v>
      </c>
      <c r="D32" s="3">
        <f t="shared" si="0"/>
        <v>5.4999999999999979E-3</v>
      </c>
      <c r="E32" s="3">
        <f t="shared" si="2"/>
        <v>2.1213203435596541E-3</v>
      </c>
      <c r="F32" s="3">
        <f t="shared" si="0"/>
        <v>1.1999999999999997E-2</v>
      </c>
      <c r="G32" s="3">
        <f t="shared" si="3"/>
        <v>7.0710678118654805E-3</v>
      </c>
      <c r="H32" s="3">
        <f t="shared" si="0"/>
        <v>4.9999999999999351E-4</v>
      </c>
      <c r="I32" s="3">
        <f t="shared" si="4"/>
        <v>7.0710678118653841E-4</v>
      </c>
      <c r="J32" s="3"/>
      <c r="K32" s="3"/>
      <c r="L32" s="3"/>
      <c r="M32" s="3"/>
    </row>
    <row r="33" spans="1:13" x14ac:dyDescent="0.25">
      <c r="A33" t="s">
        <v>20</v>
      </c>
      <c r="B33" s="3">
        <f t="shared" si="1"/>
        <v>1.4000000000000012E-2</v>
      </c>
      <c r="C33" s="3">
        <f t="shared" si="2"/>
        <v>2.1213203435596444E-2</v>
      </c>
      <c r="D33" s="3">
        <f t="shared" si="0"/>
        <v>4.9999999999999975E-3</v>
      </c>
      <c r="E33" s="3">
        <f t="shared" si="2"/>
        <v>1.131370849898476E-2</v>
      </c>
      <c r="F33" s="3">
        <f t="shared" si="0"/>
        <v>2.5000000000000008E-2</v>
      </c>
      <c r="G33" s="3">
        <f t="shared" si="3"/>
        <v>3.1112698372208095E-2</v>
      </c>
      <c r="H33" s="3">
        <f t="shared" si="0"/>
        <v>3.0000000000000027E-3</v>
      </c>
      <c r="I33" s="3">
        <f t="shared" si="4"/>
        <v>1.4142135623730963E-3</v>
      </c>
      <c r="J33" s="3"/>
      <c r="K33" s="3"/>
      <c r="L33" s="3"/>
      <c r="M3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Grilla</vt:lpstr>
      <vt:lpstr>Análisis</vt:lpstr>
      <vt:lpstr>0-0</vt:lpstr>
      <vt:lpstr>+0 seg</vt:lpstr>
      <vt:lpstr>+23 seg</vt:lpstr>
      <vt:lpstr>+42 seg</vt:lpstr>
      <vt:lpstr>+61 seg</vt:lpstr>
      <vt:lpstr>+81 seg</vt:lpstr>
      <vt:lpstr>+101 seg</vt:lpstr>
      <vt:lpstr>+120 seg</vt:lpstr>
      <vt:lpstr>+140 seg</vt:lpstr>
      <vt:lpstr>+158 seg</vt:lpstr>
      <vt:lpstr>+178 seg</vt:lpstr>
      <vt:lpstr>+198 seg</vt:lpstr>
      <vt:lpstr>+219 seg</vt:lpstr>
      <vt:lpstr>+238 seg</vt:lpstr>
      <vt:lpstr>+260 seg</vt:lpstr>
      <vt:lpstr>+279 seg</vt:lpstr>
      <vt:lpstr>+300 seg</vt:lpstr>
      <vt:lpstr>+326 seg</vt:lpstr>
      <vt:lpstr>+367 seg</vt:lpstr>
      <vt:lpstr>+431 seg</vt:lpstr>
      <vt:lpstr>+518 seg</vt:lpstr>
      <vt:lpstr>+549 seg</vt:lpstr>
      <vt:lpstr>+605 seg</vt:lpstr>
      <vt:lpstr>+658 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lopez</cp:lastModifiedBy>
  <dcterms:created xsi:type="dcterms:W3CDTF">2025-10-30T12:17:48Z</dcterms:created>
  <dcterms:modified xsi:type="dcterms:W3CDTF">2025-11-22T15:44:22Z</dcterms:modified>
</cp:coreProperties>
</file>